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A5F44029-6757-4BC7-84D6-A70559901DE4}" xr6:coauthVersionLast="47" xr6:coauthVersionMax="47" xr10:uidLastSave="{00000000-0000-0000-0000-000000000000}"/>
  <bookViews>
    <workbookView xWindow="30075" yWindow="2295" windowWidth="22485" windowHeight="16665" xr2:uid="{83F28F63-4C74-49F1-935F-30F9D6152D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F5" i="1"/>
  <c r="E5" i="1"/>
  <c r="F2" i="1"/>
  <c r="A4" i="1" s="1"/>
  <c r="C7" i="1"/>
  <c r="B7" i="1"/>
  <c r="A7" i="1"/>
  <c r="A10" i="1" l="1"/>
  <c r="C4" i="1"/>
  <c r="B4" i="1"/>
  <c r="A13" i="1" l="1"/>
</calcChain>
</file>

<file path=xl/sharedStrings.xml><?xml version="1.0" encoding="utf-8"?>
<sst xmlns="http://schemas.openxmlformats.org/spreadsheetml/2006/main" count="20" uniqueCount="20">
  <si>
    <t>Ia</t>
  </si>
  <si>
    <t>Ib</t>
  </si>
  <si>
    <t>Ic</t>
  </si>
  <si>
    <t>Imax</t>
  </si>
  <si>
    <t>Imin</t>
  </si>
  <si>
    <t>Iav</t>
  </si>
  <si>
    <t>Im</t>
  </si>
  <si>
    <t>CTR</t>
  </si>
  <si>
    <t>% Unbalance</t>
  </si>
  <si>
    <t>Ia_sec</t>
  </si>
  <si>
    <t>Ib_sec</t>
  </si>
  <si>
    <t>Ic_sec</t>
  </si>
  <si>
    <t>Trip %</t>
  </si>
  <si>
    <t>Trip Time (s)</t>
  </si>
  <si>
    <t>Alarm %</t>
  </si>
  <si>
    <t>Alarm Time (S)</t>
  </si>
  <si>
    <t>FLC</t>
  </si>
  <si>
    <t>Iprim</t>
  </si>
  <si>
    <t>Isec</t>
  </si>
  <si>
    <t>% Imbalance When  &gt;100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</si>
</sst>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BD0A9-3F9A-4B98-84FC-78BD585B3636}">
  <dimension ref="A1:I16"/>
  <sheetViews>
    <sheetView tabSelected="1" workbookViewId="0">
      <selection activeCell="C19" sqref="C19"/>
    </sheetView>
  </sheetViews>
  <sheetFormatPr defaultRowHeight="15" x14ac:dyDescent="0.25"/>
  <cols>
    <col min="9" max="9" width="14.140625" bestFit="1" customWidth="1"/>
    <col min="12" max="12" width="9.5703125" customWidth="1"/>
  </cols>
  <sheetData>
    <row r="1" spans="1:9" x14ac:dyDescent="0.25">
      <c r="A1" t="s">
        <v>0</v>
      </c>
      <c r="B1" t="s">
        <v>1</v>
      </c>
      <c r="C1" t="s">
        <v>2</v>
      </c>
      <c r="E1" t="s">
        <v>16</v>
      </c>
      <c r="F1" t="s">
        <v>7</v>
      </c>
      <c r="H1" t="s">
        <v>12</v>
      </c>
      <c r="I1" t="s">
        <v>13</v>
      </c>
    </row>
    <row r="2" spans="1:9" x14ac:dyDescent="0.25">
      <c r="A2">
        <v>222.5</v>
      </c>
      <c r="B2">
        <v>168</v>
      </c>
      <c r="C2">
        <v>168</v>
      </c>
      <c r="E2">
        <v>140</v>
      </c>
      <c r="F2">
        <f>140/0.56</f>
        <v>249.99999999999997</v>
      </c>
      <c r="H2">
        <v>20</v>
      </c>
      <c r="I2">
        <v>10</v>
      </c>
    </row>
    <row r="3" spans="1:9" x14ac:dyDescent="0.25">
      <c r="A3" t="s">
        <v>9</v>
      </c>
      <c r="B3" t="s">
        <v>10</v>
      </c>
      <c r="C3" t="s">
        <v>11</v>
      </c>
    </row>
    <row r="4" spans="1:9" x14ac:dyDescent="0.25">
      <c r="A4">
        <f>A2*(1/$F$2)</f>
        <v>0.89</v>
      </c>
      <c r="B4">
        <f>B2*(1/$F$2)</f>
        <v>0.67200000000000004</v>
      </c>
      <c r="C4">
        <f>C2*(1/$F$2)</f>
        <v>0.67200000000000004</v>
      </c>
      <c r="E4" t="s">
        <v>17</v>
      </c>
      <c r="F4" t="s">
        <v>18</v>
      </c>
      <c r="H4" t="s">
        <v>14</v>
      </c>
      <c r="I4" t="s">
        <v>15</v>
      </c>
    </row>
    <row r="5" spans="1:9" x14ac:dyDescent="0.25">
      <c r="E5">
        <f>E2</f>
        <v>140</v>
      </c>
      <c r="F5">
        <f>E5/F2</f>
        <v>0.56000000000000005</v>
      </c>
      <c r="H5">
        <v>15</v>
      </c>
      <c r="I5">
        <v>5</v>
      </c>
    </row>
    <row r="6" spans="1:9" x14ac:dyDescent="0.25">
      <c r="A6" t="s">
        <v>3</v>
      </c>
      <c r="B6" t="s">
        <v>4</v>
      </c>
      <c r="C6" t="s">
        <v>5</v>
      </c>
    </row>
    <row r="7" spans="1:9" x14ac:dyDescent="0.25">
      <c r="A7">
        <f>MAX(A2:C2)</f>
        <v>222.5</v>
      </c>
      <c r="B7">
        <f>MIN(A2:C2)</f>
        <v>168</v>
      </c>
      <c r="C7">
        <f>AVERAGE(A2:C2)</f>
        <v>186.16666666666666</v>
      </c>
    </row>
    <row r="9" spans="1:9" x14ac:dyDescent="0.25">
      <c r="A9" t="s">
        <v>6</v>
      </c>
    </row>
    <row r="10" spans="1:9" x14ac:dyDescent="0.25">
      <c r="A10">
        <f>MAX((A7-C7),(B7-C7))</f>
        <v>36.333333333333343</v>
      </c>
    </row>
    <row r="12" spans="1:9" x14ac:dyDescent="0.25">
      <c r="A12" t="s">
        <v>8</v>
      </c>
    </row>
    <row r="13" spans="1:9" x14ac:dyDescent="0.25">
      <c r="A13">
        <f>100*(A10/140)</f>
        <v>25.95238095238096</v>
      </c>
    </row>
    <row r="15" spans="1:9" x14ac:dyDescent="0.25">
      <c r="A15" t="s">
        <v>19</v>
      </c>
    </row>
    <row r="16" spans="1:9" x14ac:dyDescent="0.25">
      <c r="A16">
        <f>A10/C7*100</f>
        <v>19.516562220232771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Braedin Hogg</dc:creator>
  <cp:lastModifiedBy>Braedin Hogg</cp:lastModifiedBy>
  <dcterms:created xsi:type="dcterms:W3CDTF">2023-10-29T01:02:43Z</dcterms:created>
  <dcterms:modified xsi:type="dcterms:W3CDTF">2023-10-29T02:10:11Z</dcterms:modified>
</cp:coreProperties>
</file>