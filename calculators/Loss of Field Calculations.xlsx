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top Backup\Documents\Powertech\Relays\Automation\"/>
    </mc:Choice>
  </mc:AlternateContent>
  <xr:revisionPtr revIDLastSave="0" documentId="13_ncr:1_{1E2563E7-FBB4-47E7-B123-1C1D649E1474}" xr6:coauthVersionLast="47" xr6:coauthVersionMax="47" xr10:uidLastSave="{00000000-0000-0000-0000-000000000000}"/>
  <bookViews>
    <workbookView xWindow="0" yWindow="0" windowWidth="14415" windowHeight="14505" xr2:uid="{7AECB074-55D3-45C2-A97D-7740BDF7221C}"/>
  </bookViews>
  <sheets>
    <sheet name="Settings" sheetId="1" r:id="rId1"/>
    <sheet name="Cur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6" i="1"/>
  <c r="G24" i="1"/>
  <c r="G25" i="1"/>
  <c r="R4" i="2"/>
  <c r="Q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" i="2"/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C4" i="2"/>
  <c r="M4" i="2"/>
  <c r="P5" i="2"/>
  <c r="L5" i="2"/>
  <c r="L6" i="2" s="1"/>
  <c r="R5" i="2" l="1"/>
  <c r="Q5" i="2"/>
  <c r="P6" i="2"/>
  <c r="L7" i="2"/>
  <c r="G59" i="1"/>
  <c r="G58" i="1"/>
  <c r="G61" i="1" s="1"/>
  <c r="G55" i="1"/>
  <c r="G65" i="1" s="1"/>
  <c r="P7" i="2" l="1"/>
  <c r="R6" i="2"/>
  <c r="Q6" i="2"/>
  <c r="L8" i="2"/>
  <c r="G80" i="1"/>
  <c r="G73" i="1"/>
  <c r="G62" i="1"/>
  <c r="G71" i="1" s="1"/>
  <c r="H4" i="2"/>
  <c r="G4" i="2"/>
  <c r="D19" i="2"/>
  <c r="F5" i="2"/>
  <c r="H5" i="2" s="1"/>
  <c r="B5" i="2"/>
  <c r="B6" i="2" s="1"/>
  <c r="G31" i="1"/>
  <c r="R7" i="2" l="1"/>
  <c r="Q7" i="2"/>
  <c r="P8" i="2"/>
  <c r="L9" i="2"/>
  <c r="C24" i="2"/>
  <c r="D34" i="2"/>
  <c r="C26" i="2"/>
  <c r="D28" i="2"/>
  <c r="C12" i="2"/>
  <c r="C11" i="2"/>
  <c r="C10" i="2"/>
  <c r="C25" i="2"/>
  <c r="D31" i="2"/>
  <c r="C40" i="2"/>
  <c r="C8" i="2"/>
  <c r="D30" i="2"/>
  <c r="D14" i="2"/>
  <c r="C39" i="2"/>
  <c r="C23" i="2"/>
  <c r="C7" i="2"/>
  <c r="D29" i="2"/>
  <c r="D13" i="2"/>
  <c r="C38" i="2"/>
  <c r="C22" i="2"/>
  <c r="C6" i="2"/>
  <c r="D12" i="2"/>
  <c r="C37" i="2"/>
  <c r="C21" i="2"/>
  <c r="D4" i="2"/>
  <c r="D27" i="2"/>
  <c r="D11" i="2"/>
  <c r="C27" i="2"/>
  <c r="D9" i="2"/>
  <c r="D18" i="2"/>
  <c r="D33" i="2"/>
  <c r="D16" i="2"/>
  <c r="C9" i="2"/>
  <c r="C36" i="2"/>
  <c r="D26" i="2"/>
  <c r="C35" i="2"/>
  <c r="D5" i="2"/>
  <c r="C34" i="2"/>
  <c r="D40" i="2"/>
  <c r="D24" i="2"/>
  <c r="C33" i="2"/>
  <c r="C17" i="2"/>
  <c r="D39" i="2"/>
  <c r="D23" i="2"/>
  <c r="D7" i="2"/>
  <c r="C32" i="2"/>
  <c r="C16" i="2"/>
  <c r="D38" i="2"/>
  <c r="D22" i="2"/>
  <c r="C28" i="2"/>
  <c r="D17" i="2"/>
  <c r="D32" i="2"/>
  <c r="C5" i="2"/>
  <c r="D15" i="2"/>
  <c r="C20" i="2"/>
  <c r="D6" i="2"/>
  <c r="D10" i="2"/>
  <c r="C19" i="2"/>
  <c r="D25" i="2"/>
  <c r="C18" i="2"/>
  <c r="D8" i="2"/>
  <c r="C31" i="2"/>
  <c r="C15" i="2"/>
  <c r="D37" i="2"/>
  <c r="D21" i="2"/>
  <c r="C30" i="2"/>
  <c r="C14" i="2"/>
  <c r="D36" i="2"/>
  <c r="D20" i="2"/>
  <c r="C29" i="2"/>
  <c r="C13" i="2"/>
  <c r="D35" i="2"/>
  <c r="G72" i="1"/>
  <c r="G66" i="1"/>
  <c r="G5" i="2"/>
  <c r="B7" i="2"/>
  <c r="F6" i="2"/>
  <c r="R8" i="2" l="1"/>
  <c r="Q8" i="2"/>
  <c r="P9" i="2"/>
  <c r="L10" i="2"/>
  <c r="G79" i="1"/>
  <c r="G78" i="1"/>
  <c r="H6" i="2"/>
  <c r="G6" i="2"/>
  <c r="F7" i="2"/>
  <c r="B8" i="2"/>
  <c r="R9" i="2" l="1"/>
  <c r="Q9" i="2"/>
  <c r="P10" i="2"/>
  <c r="L11" i="2"/>
  <c r="H7" i="2"/>
  <c r="G7" i="2"/>
  <c r="B9" i="2"/>
  <c r="F8" i="2"/>
  <c r="R10" i="2" l="1"/>
  <c r="Q10" i="2"/>
  <c r="P11" i="2"/>
  <c r="L12" i="2"/>
  <c r="H8" i="2"/>
  <c r="G8" i="2"/>
  <c r="B10" i="2"/>
  <c r="F9" i="2"/>
  <c r="R11" i="2" l="1"/>
  <c r="Q11" i="2"/>
  <c r="P12" i="2"/>
  <c r="L13" i="2"/>
  <c r="H9" i="2"/>
  <c r="G9" i="2"/>
  <c r="F10" i="2"/>
  <c r="B11" i="2"/>
  <c r="Q12" i="2" l="1"/>
  <c r="R12" i="2"/>
  <c r="P13" i="2"/>
  <c r="L14" i="2"/>
  <c r="H10" i="2"/>
  <c r="G10" i="2"/>
  <c r="B12" i="2"/>
  <c r="F11" i="2"/>
  <c r="Q13" i="2" l="1"/>
  <c r="R13" i="2"/>
  <c r="P14" i="2"/>
  <c r="L15" i="2"/>
  <c r="G11" i="2"/>
  <c r="H11" i="2"/>
  <c r="F12" i="2"/>
  <c r="B13" i="2"/>
  <c r="Q14" i="2" l="1"/>
  <c r="R14" i="2"/>
  <c r="P15" i="2"/>
  <c r="L16" i="2"/>
  <c r="G12" i="2"/>
  <c r="H12" i="2"/>
  <c r="B14" i="2"/>
  <c r="F13" i="2"/>
  <c r="R15" i="2" l="1"/>
  <c r="Q15" i="2"/>
  <c r="P16" i="2"/>
  <c r="L17" i="2"/>
  <c r="G13" i="2"/>
  <c r="H13" i="2"/>
  <c r="F14" i="2"/>
  <c r="B15" i="2"/>
  <c r="R16" i="2" l="1"/>
  <c r="Q16" i="2"/>
  <c r="P17" i="2"/>
  <c r="L18" i="2"/>
  <c r="G14" i="2"/>
  <c r="H14" i="2"/>
  <c r="B16" i="2"/>
  <c r="F15" i="2"/>
  <c r="Q17" i="2" l="1"/>
  <c r="R17" i="2"/>
  <c r="P18" i="2"/>
  <c r="L19" i="2"/>
  <c r="G15" i="2"/>
  <c r="H15" i="2"/>
  <c r="F16" i="2"/>
  <c r="B17" i="2"/>
  <c r="R18" i="2" l="1"/>
  <c r="Q18" i="2"/>
  <c r="P19" i="2"/>
  <c r="L20" i="2"/>
  <c r="G16" i="2"/>
  <c r="H16" i="2"/>
  <c r="B18" i="2"/>
  <c r="F17" i="2"/>
  <c r="Q19" i="2" l="1"/>
  <c r="R19" i="2"/>
  <c r="P20" i="2"/>
  <c r="L21" i="2"/>
  <c r="G17" i="2"/>
  <c r="H17" i="2"/>
  <c r="F18" i="2"/>
  <c r="B19" i="2"/>
  <c r="Q20" i="2" l="1"/>
  <c r="R20" i="2"/>
  <c r="P21" i="2"/>
  <c r="L22" i="2"/>
  <c r="G18" i="2"/>
  <c r="H18" i="2"/>
  <c r="B20" i="2"/>
  <c r="F19" i="2"/>
  <c r="R21" i="2" l="1"/>
  <c r="Q21" i="2"/>
  <c r="P22" i="2"/>
  <c r="L23" i="2"/>
  <c r="H19" i="2"/>
  <c r="G19" i="2"/>
  <c r="F20" i="2"/>
  <c r="B21" i="2"/>
  <c r="R22" i="2" l="1"/>
  <c r="Q22" i="2"/>
  <c r="P23" i="2"/>
  <c r="L24" i="2"/>
  <c r="H20" i="2"/>
  <c r="G20" i="2"/>
  <c r="B22" i="2"/>
  <c r="F21" i="2"/>
  <c r="R23" i="2" l="1"/>
  <c r="Q23" i="2"/>
  <c r="P24" i="2"/>
  <c r="L25" i="2"/>
  <c r="H21" i="2"/>
  <c r="G21" i="2"/>
  <c r="F22" i="2"/>
  <c r="B23" i="2"/>
  <c r="R24" i="2" l="1"/>
  <c r="Q24" i="2"/>
  <c r="P25" i="2"/>
  <c r="L26" i="2"/>
  <c r="G22" i="2"/>
  <c r="H22" i="2"/>
  <c r="B24" i="2"/>
  <c r="F23" i="2"/>
  <c r="R25" i="2" l="1"/>
  <c r="Q25" i="2"/>
  <c r="P26" i="2"/>
  <c r="L27" i="2"/>
  <c r="H23" i="2"/>
  <c r="G23" i="2"/>
  <c r="F24" i="2"/>
  <c r="B25" i="2"/>
  <c r="R26" i="2" l="1"/>
  <c r="Q26" i="2"/>
  <c r="P27" i="2"/>
  <c r="L28" i="2"/>
  <c r="H24" i="2"/>
  <c r="G24" i="2"/>
  <c r="B26" i="2"/>
  <c r="F25" i="2"/>
  <c r="Q27" i="2" l="1"/>
  <c r="R27" i="2"/>
  <c r="P28" i="2"/>
  <c r="L29" i="2"/>
  <c r="H25" i="2"/>
  <c r="G25" i="2"/>
  <c r="F26" i="2"/>
  <c r="B27" i="2"/>
  <c r="R28" i="2" l="1"/>
  <c r="Q28" i="2"/>
  <c r="P29" i="2"/>
  <c r="L30" i="2"/>
  <c r="H26" i="2"/>
  <c r="G26" i="2"/>
  <c r="B28" i="2"/>
  <c r="F27" i="2"/>
  <c r="R29" i="2" l="1"/>
  <c r="Q29" i="2"/>
  <c r="P30" i="2"/>
  <c r="L31" i="2"/>
  <c r="G27" i="2"/>
  <c r="H27" i="2"/>
  <c r="F28" i="2"/>
  <c r="B29" i="2"/>
  <c r="Q30" i="2" l="1"/>
  <c r="R30" i="2"/>
  <c r="P31" i="2"/>
  <c r="L32" i="2"/>
  <c r="H28" i="2"/>
  <c r="G28" i="2"/>
  <c r="B30" i="2"/>
  <c r="F29" i="2"/>
  <c r="Q31" i="2" l="1"/>
  <c r="R31" i="2"/>
  <c r="P32" i="2"/>
  <c r="L33" i="2"/>
  <c r="G29" i="2"/>
  <c r="H29" i="2"/>
  <c r="F30" i="2"/>
  <c r="B31" i="2"/>
  <c r="Q32" i="2" l="1"/>
  <c r="R32" i="2"/>
  <c r="P33" i="2"/>
  <c r="L34" i="2"/>
  <c r="G30" i="2"/>
  <c r="H30" i="2"/>
  <c r="F31" i="2"/>
  <c r="B32" i="2"/>
  <c r="Q33" i="2" l="1"/>
  <c r="R33" i="2"/>
  <c r="P34" i="2"/>
  <c r="L35" i="2"/>
  <c r="G31" i="2"/>
  <c r="H31" i="2"/>
  <c r="B33" i="2"/>
  <c r="F32" i="2"/>
  <c r="Q34" i="2" l="1"/>
  <c r="R34" i="2"/>
  <c r="P35" i="2"/>
  <c r="L36" i="2"/>
  <c r="G32" i="2"/>
  <c r="H32" i="2"/>
  <c r="F33" i="2"/>
  <c r="B34" i="2"/>
  <c r="R35" i="2" l="1"/>
  <c r="Q35" i="2"/>
  <c r="P36" i="2"/>
  <c r="L37" i="2"/>
  <c r="G33" i="2"/>
  <c r="H33" i="2"/>
  <c r="F34" i="2"/>
  <c r="B35" i="2"/>
  <c r="Q36" i="2" l="1"/>
  <c r="R36" i="2"/>
  <c r="P37" i="2"/>
  <c r="L38" i="2"/>
  <c r="H34" i="2"/>
  <c r="G34" i="2"/>
  <c r="B36" i="2"/>
  <c r="F35" i="2"/>
  <c r="R37" i="2" l="1"/>
  <c r="Q37" i="2"/>
  <c r="P38" i="2"/>
  <c r="L39" i="2"/>
  <c r="H35" i="2"/>
  <c r="G35" i="2"/>
  <c r="F36" i="2"/>
  <c r="B37" i="2"/>
  <c r="R38" i="2" l="1"/>
  <c r="Q38" i="2"/>
  <c r="P39" i="2"/>
  <c r="L40" i="2"/>
  <c r="H36" i="2"/>
  <c r="G36" i="2"/>
  <c r="B38" i="2"/>
  <c r="F37" i="2"/>
  <c r="R39" i="2" l="1"/>
  <c r="Q39" i="2"/>
  <c r="P40" i="2"/>
  <c r="H37" i="2"/>
  <c r="G37" i="2"/>
  <c r="F38" i="2"/>
  <c r="B39" i="2"/>
  <c r="R40" i="2" l="1"/>
  <c r="Q40" i="2"/>
  <c r="H38" i="2"/>
  <c r="G38" i="2"/>
  <c r="B40" i="2"/>
  <c r="F39" i="2"/>
  <c r="G33" i="1"/>
  <c r="G32" i="1"/>
  <c r="H39" i="2" l="1"/>
  <c r="G39" i="2"/>
  <c r="F40" i="2"/>
  <c r="H40" i="2" l="1"/>
  <c r="G40" i="2"/>
</calcChain>
</file>

<file path=xl/sharedStrings.xml><?xml version="1.0" encoding="utf-8"?>
<sst xmlns="http://schemas.openxmlformats.org/spreadsheetml/2006/main" count="81" uniqueCount="34">
  <si>
    <t>Generator Data</t>
  </si>
  <si>
    <t>Power (MVA)</t>
  </si>
  <si>
    <t>Voltage (kV, line-to-line)</t>
  </si>
  <si>
    <t>PT Ratio</t>
  </si>
  <si>
    <t>CT Ratio</t>
  </si>
  <si>
    <t>X'd (pu)</t>
  </si>
  <si>
    <t>Xd (pu)</t>
  </si>
  <si>
    <r>
      <t>Z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(ohms secondary)</t>
    </r>
  </si>
  <si>
    <t>Settings</t>
  </si>
  <si>
    <t>VNOM (volts secondary)</t>
  </si>
  <si>
    <t>INOM (amps secondary)</t>
  </si>
  <si>
    <t>Z1 Trip time (sec)</t>
  </si>
  <si>
    <t>Z1 Offset (ohms secondary)</t>
  </si>
  <si>
    <t>Z1 Diameter (ohms secondary)</t>
  </si>
  <si>
    <t>Z2 Diameter (ohms secondary)</t>
  </si>
  <si>
    <t>Z2 Offset (ohms secondary)</t>
  </si>
  <si>
    <t>Z2 Trip time (sec)</t>
  </si>
  <si>
    <t>Omicron Settings Zone 1</t>
  </si>
  <si>
    <t>Phi (degrees)</t>
  </si>
  <si>
    <t>|Z| (ohms)</t>
  </si>
  <si>
    <t>Radius (Ohms)</t>
  </si>
  <si>
    <t>Start Angle (degrees)</t>
  </si>
  <si>
    <t>End angle (degrees)</t>
  </si>
  <si>
    <t>Omicron Settings Zone 2</t>
  </si>
  <si>
    <t>Zone 1</t>
  </si>
  <si>
    <t>Zone 2</t>
  </si>
  <si>
    <t>Mho Element - Zone 1</t>
  </si>
  <si>
    <t>Mho Element - Zone 2</t>
  </si>
  <si>
    <t>Angle (degrees)</t>
  </si>
  <si>
    <t>R (ohms)</t>
  </si>
  <si>
    <t>X (ohms)</t>
  </si>
  <si>
    <t>This is for calculating the relay settings</t>
  </si>
  <si>
    <t>For Testing</t>
  </si>
  <si>
    <t>For calculating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</si>
</sst>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 applyBorder="1" applyAlignment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23602081435539E-2"/>
          <c:y val="0.104071023380142"/>
          <c:w val="0.58824911654291967"/>
          <c:h val="0.862134813793437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Curve!$B$2</c:f>
              <c:strCache>
                <c:ptCount val="1"/>
                <c:pt idx="0">
                  <c:v>Mho Element - Zone 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/>
          </c:spPr>
          <c:marker>
            <c:symbol val="none"/>
          </c:marker>
          <c:xVal>
            <c:numRef>
              <c:f>Curve!$C$4:$C$40</c:f>
              <c:numCache>
                <c:formatCode>0.00</c:formatCode>
                <c:ptCount val="37"/>
                <c:pt idx="0">
                  <c:v>57.35</c:v>
                </c:pt>
                <c:pt idx="1">
                  <c:v>56.478724635250131</c:v>
                </c:pt>
                <c:pt idx="2">
                  <c:v>53.891371802071852</c:v>
                </c:pt>
                <c:pt idx="3">
                  <c:v>49.66655690703756</c:v>
                </c:pt>
                <c:pt idx="4">
                  <c:v>43.932648812873389</c:v>
                </c:pt>
                <c:pt idx="5">
                  <c:v>36.863869415523034</c:v>
                </c:pt>
                <c:pt idx="6">
                  <c:v>28.675000000000011</c:v>
                </c:pt>
                <c:pt idx="7">
                  <c:v>19.614855219727112</c:v>
                </c:pt>
                <c:pt idx="8">
                  <c:v>9.9587229891984634</c:v>
                </c:pt>
                <c:pt idx="9">
                  <c:v>7.0262263889009358E-15</c:v>
                </c:pt>
                <c:pt idx="10">
                  <c:v>-9.9587229891984492</c:v>
                </c:pt>
                <c:pt idx="11">
                  <c:v>-19.614855219727097</c:v>
                </c:pt>
                <c:pt idx="12">
                  <c:v>-28.674999999999983</c:v>
                </c:pt>
                <c:pt idx="13">
                  <c:v>-36.863869415523034</c:v>
                </c:pt>
                <c:pt idx="14">
                  <c:v>-43.932648812873381</c:v>
                </c:pt>
                <c:pt idx="15">
                  <c:v>-49.66655690703756</c:v>
                </c:pt>
                <c:pt idx="16">
                  <c:v>-53.891371802071845</c:v>
                </c:pt>
                <c:pt idx="17">
                  <c:v>-56.478724635250131</c:v>
                </c:pt>
                <c:pt idx="18">
                  <c:v>-57.35</c:v>
                </c:pt>
                <c:pt idx="19">
                  <c:v>-56.478724635250131</c:v>
                </c:pt>
                <c:pt idx="20">
                  <c:v>-53.891371802071852</c:v>
                </c:pt>
                <c:pt idx="21">
                  <c:v>-49.666556907037553</c:v>
                </c:pt>
                <c:pt idx="22">
                  <c:v>-43.932648812873389</c:v>
                </c:pt>
                <c:pt idx="23">
                  <c:v>-36.863869415523041</c:v>
                </c:pt>
                <c:pt idx="24">
                  <c:v>-28.675000000000022</c:v>
                </c:pt>
                <c:pt idx="25">
                  <c:v>-19.614855219727087</c:v>
                </c:pt>
                <c:pt idx="26">
                  <c:v>-9.958722989198451</c:v>
                </c:pt>
                <c:pt idx="27">
                  <c:v>-7.0262263889009358E-15</c:v>
                </c:pt>
                <c:pt idx="28">
                  <c:v>9.9587229891984368</c:v>
                </c:pt>
                <c:pt idx="29">
                  <c:v>19.614855219727122</c:v>
                </c:pt>
                <c:pt idx="30">
                  <c:v>28.675000000000011</c:v>
                </c:pt>
                <c:pt idx="31">
                  <c:v>36.863869415523027</c:v>
                </c:pt>
                <c:pt idx="32">
                  <c:v>43.932648812873374</c:v>
                </c:pt>
                <c:pt idx="33">
                  <c:v>49.666556907037545</c:v>
                </c:pt>
                <c:pt idx="34">
                  <c:v>53.891371802071852</c:v>
                </c:pt>
                <c:pt idx="35">
                  <c:v>56.478724635250131</c:v>
                </c:pt>
                <c:pt idx="36">
                  <c:v>57.35</c:v>
                </c:pt>
              </c:numCache>
            </c:numRef>
          </c:xVal>
          <c:yVal>
            <c:numRef>
              <c:f>Curve!$D$4:$D$40</c:f>
              <c:numCache>
                <c:formatCode>0.00</c:formatCode>
                <c:ptCount val="37"/>
                <c:pt idx="0">
                  <c:v>-69.95</c:v>
                </c:pt>
                <c:pt idx="1">
                  <c:v>-59.991277010801547</c:v>
                </c:pt>
                <c:pt idx="2">
                  <c:v>-50.335144780272906</c:v>
                </c:pt>
                <c:pt idx="3">
                  <c:v>-41.275000000000006</c:v>
                </c:pt>
                <c:pt idx="4">
                  <c:v>-33.086130584476976</c:v>
                </c:pt>
                <c:pt idx="5">
                  <c:v>-26.017351187126614</c:v>
                </c:pt>
                <c:pt idx="6">
                  <c:v>-20.28344309296245</c:v>
                </c:pt>
                <c:pt idx="7">
                  <c:v>-16.058628197928158</c:v>
                </c:pt>
                <c:pt idx="8">
                  <c:v>-13.47127536474987</c:v>
                </c:pt>
                <c:pt idx="9">
                  <c:v>-12.6</c:v>
                </c:pt>
                <c:pt idx="10">
                  <c:v>-13.47127536474987</c:v>
                </c:pt>
                <c:pt idx="11">
                  <c:v>-16.058628197928151</c:v>
                </c:pt>
                <c:pt idx="12">
                  <c:v>-20.283443092962443</c:v>
                </c:pt>
                <c:pt idx="13">
                  <c:v>-26.017351187126614</c:v>
                </c:pt>
                <c:pt idx="14">
                  <c:v>-33.086130584476962</c:v>
                </c:pt>
                <c:pt idx="15">
                  <c:v>-41.275000000000006</c:v>
                </c:pt>
                <c:pt idx="16">
                  <c:v>-50.335144780272891</c:v>
                </c:pt>
                <c:pt idx="17">
                  <c:v>-59.991277010801554</c:v>
                </c:pt>
                <c:pt idx="18">
                  <c:v>-69.949999999999989</c:v>
                </c:pt>
                <c:pt idx="19">
                  <c:v>-79.908722989198452</c:v>
                </c:pt>
                <c:pt idx="20">
                  <c:v>-89.564855219727093</c:v>
                </c:pt>
                <c:pt idx="21">
                  <c:v>-98.625</c:v>
                </c:pt>
                <c:pt idx="22">
                  <c:v>-106.81386941552302</c:v>
                </c:pt>
                <c:pt idx="23">
                  <c:v>-113.88264881287338</c:v>
                </c:pt>
                <c:pt idx="24">
                  <c:v>-119.61655690703753</c:v>
                </c:pt>
                <c:pt idx="25">
                  <c:v>-123.84137180207185</c:v>
                </c:pt>
                <c:pt idx="26">
                  <c:v>-126.42872463525012</c:v>
                </c:pt>
                <c:pt idx="27">
                  <c:v>-127.3</c:v>
                </c:pt>
                <c:pt idx="28">
                  <c:v>-126.42872463525013</c:v>
                </c:pt>
                <c:pt idx="29">
                  <c:v>-123.84137180207185</c:v>
                </c:pt>
                <c:pt idx="30">
                  <c:v>-119.61655690703755</c:v>
                </c:pt>
                <c:pt idx="31">
                  <c:v>-113.88264881287338</c:v>
                </c:pt>
                <c:pt idx="32">
                  <c:v>-106.81386941552304</c:v>
                </c:pt>
                <c:pt idx="33">
                  <c:v>-98.625000000000028</c:v>
                </c:pt>
                <c:pt idx="34">
                  <c:v>-89.564855219727093</c:v>
                </c:pt>
                <c:pt idx="35">
                  <c:v>-79.908722989198452</c:v>
                </c:pt>
                <c:pt idx="36">
                  <c:v>-69.950000000000017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7-4C78-BBE0-02D1241B4384}"/>
            </c:ext>
          </c:extLst>
        </c:ser>
        <c:ser>
          <c:idx val="1"/>
          <c:order val="1"/>
          <c:tx>
            <c:strRef>
              <c:f>Curve!$F$2</c:f>
              <c:strCache>
                <c:ptCount val="1"/>
                <c:pt idx="0">
                  <c:v>Mho Element - Zone 2</c:v>
                </c:pt>
              </c:strCache>
            </c:strRef>
          </c:tx>
          <c:spPr>
            <a:ln w="22225" cap="rnd">
              <a:solidFill>
                <a:schemeClr val="bg1">
                  <a:lumMod val="85000"/>
                </a:schemeClr>
              </a:solidFill>
            </a:ln>
            <a:effectLst/>
          </c:spPr>
          <c:marker>
            <c:symbol val="none"/>
          </c:marker>
          <c:xVal>
            <c:numRef>
              <c:f>Curve!$G$4:$G$40</c:f>
              <c:numCache>
                <c:formatCode>0.00</c:formatCode>
                <c:ptCount val="37"/>
                <c:pt idx="0">
                  <c:v>74.55</c:v>
                </c:pt>
                <c:pt idx="1">
                  <c:v>73.417417987060105</c:v>
                </c:pt>
                <c:pt idx="2">
                  <c:v>70.054084879589468</c:v>
                </c:pt>
                <c:pt idx="3">
                  <c:v>64.562193852129909</c:v>
                </c:pt>
                <c:pt idx="4">
                  <c:v>57.108613234519815</c:v>
                </c:pt>
                <c:pt idx="5">
                  <c:v>47.919816302131515</c:v>
                </c:pt>
                <c:pt idx="6">
                  <c:v>37.275000000000013</c:v>
                </c:pt>
                <c:pt idx="7">
                  <c:v>25.497601684928615</c:v>
                </c:pt>
                <c:pt idx="8">
                  <c:v>12.945471645069667</c:v>
                </c:pt>
                <c:pt idx="9">
                  <c:v>9.1334817313437622E-15</c:v>
                </c:pt>
                <c:pt idx="10">
                  <c:v>-12.945471645069649</c:v>
                </c:pt>
                <c:pt idx="11">
                  <c:v>-25.497601684928597</c:v>
                </c:pt>
                <c:pt idx="12">
                  <c:v>-37.274999999999977</c:v>
                </c:pt>
                <c:pt idx="13">
                  <c:v>-47.919816302131501</c:v>
                </c:pt>
                <c:pt idx="14">
                  <c:v>-57.108613234519794</c:v>
                </c:pt>
                <c:pt idx="15">
                  <c:v>-64.562193852129909</c:v>
                </c:pt>
                <c:pt idx="16">
                  <c:v>-70.054084879589468</c:v>
                </c:pt>
                <c:pt idx="17">
                  <c:v>-73.417417987060105</c:v>
                </c:pt>
                <c:pt idx="18">
                  <c:v>-74.55</c:v>
                </c:pt>
                <c:pt idx="19">
                  <c:v>-73.417417987060105</c:v>
                </c:pt>
                <c:pt idx="20">
                  <c:v>-70.054084879589468</c:v>
                </c:pt>
                <c:pt idx="21">
                  <c:v>-64.562193852129894</c:v>
                </c:pt>
                <c:pt idx="22">
                  <c:v>-57.108613234519801</c:v>
                </c:pt>
                <c:pt idx="23">
                  <c:v>-47.919816302131508</c:v>
                </c:pt>
                <c:pt idx="24">
                  <c:v>-37.275000000000027</c:v>
                </c:pt>
                <c:pt idx="25">
                  <c:v>-25.497601684928586</c:v>
                </c:pt>
                <c:pt idx="26">
                  <c:v>-12.945471645069651</c:v>
                </c:pt>
                <c:pt idx="27">
                  <c:v>-9.1334817313437622E-15</c:v>
                </c:pt>
                <c:pt idx="28">
                  <c:v>12.945471645069635</c:v>
                </c:pt>
                <c:pt idx="29">
                  <c:v>25.497601684928625</c:v>
                </c:pt>
                <c:pt idx="30">
                  <c:v>37.275000000000013</c:v>
                </c:pt>
                <c:pt idx="31">
                  <c:v>47.919816302131508</c:v>
                </c:pt>
                <c:pt idx="32">
                  <c:v>57.108613234519801</c:v>
                </c:pt>
                <c:pt idx="33">
                  <c:v>64.56219385212988</c:v>
                </c:pt>
                <c:pt idx="34">
                  <c:v>70.054084879589468</c:v>
                </c:pt>
                <c:pt idx="35">
                  <c:v>73.417417987060105</c:v>
                </c:pt>
                <c:pt idx="36">
                  <c:v>74.55</c:v>
                </c:pt>
              </c:numCache>
            </c:numRef>
          </c:xVal>
          <c:yVal>
            <c:numRef>
              <c:f>Curve!$H$4:$H$40</c:f>
              <c:numCache>
                <c:formatCode>0.00</c:formatCode>
                <c:ptCount val="37"/>
                <c:pt idx="0">
                  <c:v>-87.149999999999991</c:v>
                </c:pt>
                <c:pt idx="1">
                  <c:v>-74.204528354930332</c:v>
                </c:pt>
                <c:pt idx="2">
                  <c:v>-61.652398315071402</c:v>
                </c:pt>
                <c:pt idx="3">
                  <c:v>-49.875000000000007</c:v>
                </c:pt>
                <c:pt idx="4">
                  <c:v>-39.230183697868497</c:v>
                </c:pt>
                <c:pt idx="5">
                  <c:v>-30.04138676548019</c:v>
                </c:pt>
                <c:pt idx="6">
                  <c:v>-22.587806147870104</c:v>
                </c:pt>
                <c:pt idx="7">
                  <c:v>-17.095915120410531</c:v>
                </c:pt>
                <c:pt idx="8">
                  <c:v>-13.732582012939892</c:v>
                </c:pt>
                <c:pt idx="9">
                  <c:v>-12.6</c:v>
                </c:pt>
                <c:pt idx="10">
                  <c:v>-13.732582012939892</c:v>
                </c:pt>
                <c:pt idx="11">
                  <c:v>-17.095915120410531</c:v>
                </c:pt>
                <c:pt idx="12">
                  <c:v>-22.58780614787009</c:v>
                </c:pt>
                <c:pt idx="13">
                  <c:v>-30.04138676548019</c:v>
                </c:pt>
                <c:pt idx="14">
                  <c:v>-39.230183697868483</c:v>
                </c:pt>
                <c:pt idx="15">
                  <c:v>-49.875000000000007</c:v>
                </c:pt>
                <c:pt idx="16">
                  <c:v>-61.652398315071387</c:v>
                </c:pt>
                <c:pt idx="17">
                  <c:v>-74.204528354930346</c:v>
                </c:pt>
                <c:pt idx="18">
                  <c:v>-87.149999999999977</c:v>
                </c:pt>
                <c:pt idx="19">
                  <c:v>-100.09547164506967</c:v>
                </c:pt>
                <c:pt idx="20">
                  <c:v>-112.64760168492859</c:v>
                </c:pt>
                <c:pt idx="21">
                  <c:v>-124.425</c:v>
                </c:pt>
                <c:pt idx="22">
                  <c:v>-135.0698163021315</c:v>
                </c:pt>
                <c:pt idx="23">
                  <c:v>-144.2586132345198</c:v>
                </c:pt>
                <c:pt idx="24">
                  <c:v>-151.71219385212987</c:v>
                </c:pt>
                <c:pt idx="25">
                  <c:v>-157.20408487958946</c:v>
                </c:pt>
                <c:pt idx="26">
                  <c:v>-160.56741798706011</c:v>
                </c:pt>
                <c:pt idx="27">
                  <c:v>-161.69999999999999</c:v>
                </c:pt>
                <c:pt idx="28">
                  <c:v>-160.56741798706011</c:v>
                </c:pt>
                <c:pt idx="29">
                  <c:v>-157.20408487958946</c:v>
                </c:pt>
                <c:pt idx="30">
                  <c:v>-151.7121938521299</c:v>
                </c:pt>
                <c:pt idx="31">
                  <c:v>-144.2586132345198</c:v>
                </c:pt>
                <c:pt idx="32">
                  <c:v>-135.06981630213153</c:v>
                </c:pt>
                <c:pt idx="33">
                  <c:v>-124.42500000000003</c:v>
                </c:pt>
                <c:pt idx="34">
                  <c:v>-112.64760168492859</c:v>
                </c:pt>
                <c:pt idx="35">
                  <c:v>-100.09547164506965</c:v>
                </c:pt>
                <c:pt idx="36">
                  <c:v>-87.15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97-4C78-BBE0-02D1241B4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48112"/>
        <c:axId val="156811440"/>
      </c:scatterChart>
      <c:valAx>
        <c:axId val="1608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1440"/>
        <c:crosses val="autoZero"/>
        <c:crossBetween val="midCat"/>
      </c:valAx>
      <c:valAx>
        <c:axId val="1568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0.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930148949162332"/>
          <c:y val="0.40245775729646699"/>
          <c:w val="0.22195839304991438"/>
          <c:h val="7.0276860553721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23602081435539E-2"/>
          <c:y val="0.104071023380142"/>
          <c:w val="0.58824911654291967"/>
          <c:h val="0.862134813793437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Curve!$B$2</c:f>
              <c:strCache>
                <c:ptCount val="1"/>
                <c:pt idx="0">
                  <c:v>Mho Element - Zone 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/>
          </c:spPr>
          <c:marker>
            <c:symbol val="none"/>
          </c:marker>
          <c:xVal>
            <c:numRef>
              <c:f>Curve!$M$4:$M$40</c:f>
              <c:numCache>
                <c:formatCode>0.00</c:formatCode>
                <c:ptCount val="37"/>
                <c:pt idx="0">
                  <c:v>8.7629618811158174</c:v>
                </c:pt>
                <c:pt idx="1">
                  <c:v>8.6298327998733004</c:v>
                </c:pt>
                <c:pt idx="2">
                  <c:v>8.2344906159127369</c:v>
                </c:pt>
                <c:pt idx="3">
                  <c:v>7.5889476014409709</c:v>
                </c:pt>
                <c:pt idx="4">
                  <c:v>6.7128182542921992</c:v>
                </c:pt>
                <c:pt idx="5">
                  <c:v>5.6327233213366981</c:v>
                </c:pt>
                <c:pt idx="6">
                  <c:v>4.3814809405579105</c:v>
                </c:pt>
                <c:pt idx="7">
                  <c:v>2.9971094785366046</c:v>
                </c:pt>
                <c:pt idx="8">
                  <c:v>1.5216723616205388</c:v>
                </c:pt>
                <c:pt idx="9">
                  <c:v>1.0735929209072179E-15</c:v>
                </c:pt>
                <c:pt idx="10">
                  <c:v>-1.5216723616205368</c:v>
                </c:pt>
                <c:pt idx="11">
                  <c:v>-2.9971094785366028</c:v>
                </c:pt>
                <c:pt idx="12">
                  <c:v>-4.381480940557906</c:v>
                </c:pt>
                <c:pt idx="13">
                  <c:v>-5.6327233213366963</c:v>
                </c:pt>
                <c:pt idx="14">
                  <c:v>-6.7128182542921966</c:v>
                </c:pt>
                <c:pt idx="15">
                  <c:v>-7.5889476014409691</c:v>
                </c:pt>
                <c:pt idx="16">
                  <c:v>-8.2344906159127351</c:v>
                </c:pt>
                <c:pt idx="17">
                  <c:v>-8.6298327998733004</c:v>
                </c:pt>
                <c:pt idx="18">
                  <c:v>-8.7629618811158174</c:v>
                </c:pt>
                <c:pt idx="19">
                  <c:v>-8.6298327998733004</c:v>
                </c:pt>
                <c:pt idx="20">
                  <c:v>-8.2344906159127369</c:v>
                </c:pt>
                <c:pt idx="21">
                  <c:v>-7.5889476014409682</c:v>
                </c:pt>
                <c:pt idx="22">
                  <c:v>-6.7128182542921975</c:v>
                </c:pt>
                <c:pt idx="23">
                  <c:v>-5.6327233213366972</c:v>
                </c:pt>
                <c:pt idx="24">
                  <c:v>-4.3814809405579114</c:v>
                </c:pt>
                <c:pt idx="25">
                  <c:v>-2.9971094785366015</c:v>
                </c:pt>
                <c:pt idx="26">
                  <c:v>-1.521672361620537</c:v>
                </c:pt>
                <c:pt idx="27">
                  <c:v>-1.0735929209072177E-15</c:v>
                </c:pt>
                <c:pt idx="28">
                  <c:v>1.5216723616205348</c:v>
                </c:pt>
                <c:pt idx="29">
                  <c:v>2.9971094785366064</c:v>
                </c:pt>
                <c:pt idx="30">
                  <c:v>4.3814809405579105</c:v>
                </c:pt>
                <c:pt idx="31">
                  <c:v>5.6327233213366963</c:v>
                </c:pt>
                <c:pt idx="32">
                  <c:v>6.7128182542921975</c:v>
                </c:pt>
                <c:pt idx="33">
                  <c:v>7.5889476014409682</c:v>
                </c:pt>
                <c:pt idx="34">
                  <c:v>8.2344906159127369</c:v>
                </c:pt>
                <c:pt idx="35">
                  <c:v>8.6298327998733004</c:v>
                </c:pt>
                <c:pt idx="36">
                  <c:v>8.7629618811158174</c:v>
                </c:pt>
              </c:numCache>
            </c:numRef>
          </c:xVal>
          <c:yVal>
            <c:numRef>
              <c:f>Curve!$N$4:$N$40</c:f>
              <c:numCache>
                <c:formatCode>0.00</c:formatCode>
                <c:ptCount val="37"/>
                <c:pt idx="0">
                  <c:v>-10.566116547393019</c:v>
                </c:pt>
                <c:pt idx="1">
                  <c:v>-9.0444441857724822</c:v>
                </c:pt>
                <c:pt idx="2">
                  <c:v>-7.5690070688564157</c:v>
                </c:pt>
                <c:pt idx="3">
                  <c:v>-6.1846356068351112</c:v>
                </c:pt>
                <c:pt idx="4">
                  <c:v>-4.9333932260563236</c:v>
                </c:pt>
                <c:pt idx="5">
                  <c:v>-3.8532982931008206</c:v>
                </c:pt>
                <c:pt idx="6">
                  <c:v>-2.9771689459520498</c:v>
                </c:pt>
                <c:pt idx="7">
                  <c:v>-2.3316259314802839</c:v>
                </c:pt>
                <c:pt idx="8">
                  <c:v>-1.9362837475197188</c:v>
                </c:pt>
                <c:pt idx="9">
                  <c:v>-1.8031546662772018</c:v>
                </c:pt>
                <c:pt idx="10">
                  <c:v>-1.9362837475197188</c:v>
                </c:pt>
                <c:pt idx="11">
                  <c:v>-2.3316259314802821</c:v>
                </c:pt>
                <c:pt idx="12">
                  <c:v>-2.977168945952049</c:v>
                </c:pt>
                <c:pt idx="13">
                  <c:v>-3.8532982931008206</c:v>
                </c:pt>
                <c:pt idx="14">
                  <c:v>-4.9333932260563209</c:v>
                </c:pt>
                <c:pt idx="15">
                  <c:v>-6.1846356068351112</c:v>
                </c:pt>
                <c:pt idx="16">
                  <c:v>-7.5690070688564139</c:v>
                </c:pt>
                <c:pt idx="17">
                  <c:v>-9.0444441857724822</c:v>
                </c:pt>
                <c:pt idx="18">
                  <c:v>-10.566116547393017</c:v>
                </c:pt>
                <c:pt idx="19">
                  <c:v>-12.087788909013558</c:v>
                </c:pt>
                <c:pt idx="20">
                  <c:v>-13.563226025929621</c:v>
                </c:pt>
                <c:pt idx="21">
                  <c:v>-14.947597487950929</c:v>
                </c:pt>
                <c:pt idx="22">
                  <c:v>-16.198839868729713</c:v>
                </c:pt>
                <c:pt idx="23">
                  <c:v>-17.278934801685217</c:v>
                </c:pt>
                <c:pt idx="24">
                  <c:v>-18.155064148833986</c:v>
                </c:pt>
                <c:pt idx="25">
                  <c:v>-18.800607163305756</c:v>
                </c:pt>
                <c:pt idx="26">
                  <c:v>-19.195949347266321</c:v>
                </c:pt>
                <c:pt idx="27">
                  <c:v>-19.329078428508836</c:v>
                </c:pt>
                <c:pt idx="28">
                  <c:v>-19.195949347266321</c:v>
                </c:pt>
                <c:pt idx="29">
                  <c:v>-18.800607163305756</c:v>
                </c:pt>
                <c:pt idx="30">
                  <c:v>-18.155064148833986</c:v>
                </c:pt>
                <c:pt idx="31">
                  <c:v>-17.278934801685217</c:v>
                </c:pt>
                <c:pt idx="32">
                  <c:v>-16.198839868729717</c:v>
                </c:pt>
                <c:pt idx="33">
                  <c:v>-14.947597487950931</c:v>
                </c:pt>
                <c:pt idx="34">
                  <c:v>-13.563226025929621</c:v>
                </c:pt>
                <c:pt idx="35">
                  <c:v>-12.087788909013558</c:v>
                </c:pt>
                <c:pt idx="36">
                  <c:v>-10.566116547393021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82-4FB5-A9FA-51736A04D2EB}"/>
            </c:ext>
          </c:extLst>
        </c:ser>
        <c:ser>
          <c:idx val="1"/>
          <c:order val="1"/>
          <c:tx>
            <c:strRef>
              <c:f>Curve!$P$2</c:f>
              <c:strCache>
                <c:ptCount val="1"/>
                <c:pt idx="0">
                  <c:v>Mho Element - Zone 2</c:v>
                </c:pt>
              </c:strCache>
            </c:strRef>
          </c:tx>
          <c:spPr>
            <a:ln w="22225" cap="rnd">
              <a:solidFill>
                <a:schemeClr val="bg2"/>
              </a:solidFill>
            </a:ln>
            <a:effectLst/>
          </c:spPr>
          <c:marker>
            <c:symbol val="none"/>
          </c:marker>
          <c:xVal>
            <c:numRef>
              <c:f>Curve!$Q$4:$Q$40</c:f>
              <c:numCache>
                <c:formatCode>0.00</c:formatCode>
                <c:ptCount val="37"/>
                <c:pt idx="0">
                  <c:v>10.417409084270485</c:v>
                </c:pt>
                <c:pt idx="1">
                  <c:v>10.259145232489379</c:v>
                </c:pt>
                <c:pt idx="2">
                  <c:v>9.7891624441970624</c:v>
                </c:pt>
                <c:pt idx="3">
                  <c:v>9.021740908593026</c:v>
                </c:pt>
                <c:pt idx="4">
                  <c:v>7.9801983407025672</c:v>
                </c:pt>
                <c:pt idx="5">
                  <c:v>6.6961814844050664</c:v>
                </c:pt>
                <c:pt idx="6">
                  <c:v>5.2087045421352443</c:v>
                </c:pt>
                <c:pt idx="7">
                  <c:v>3.5629637480843162</c:v>
                </c:pt>
                <c:pt idx="8">
                  <c:v>1.8089641034944968</c:v>
                </c:pt>
                <c:pt idx="9">
                  <c:v>1.2762872643745007E-15</c:v>
                </c:pt>
                <c:pt idx="10">
                  <c:v>-1.8089641034944943</c:v>
                </c:pt>
                <c:pt idx="11">
                  <c:v>-3.5629637480843139</c:v>
                </c:pt>
                <c:pt idx="12">
                  <c:v>-5.2087045421352389</c:v>
                </c:pt>
                <c:pt idx="13">
                  <c:v>-6.6961814844050647</c:v>
                </c:pt>
                <c:pt idx="14">
                  <c:v>-7.9801983407025645</c:v>
                </c:pt>
                <c:pt idx="15">
                  <c:v>-9.021740908593026</c:v>
                </c:pt>
                <c:pt idx="16">
                  <c:v>-9.7891624441970606</c:v>
                </c:pt>
                <c:pt idx="17">
                  <c:v>-10.259145232489379</c:v>
                </c:pt>
                <c:pt idx="18">
                  <c:v>-10.417409084270485</c:v>
                </c:pt>
                <c:pt idx="19">
                  <c:v>-10.259145232489379</c:v>
                </c:pt>
                <c:pt idx="20">
                  <c:v>-9.7891624441970624</c:v>
                </c:pt>
                <c:pt idx="21">
                  <c:v>-9.021740908593026</c:v>
                </c:pt>
                <c:pt idx="22">
                  <c:v>-7.9801983407025654</c:v>
                </c:pt>
                <c:pt idx="23">
                  <c:v>-6.6961814844050664</c:v>
                </c:pt>
                <c:pt idx="24">
                  <c:v>-5.208704542135246</c:v>
                </c:pt>
                <c:pt idx="25">
                  <c:v>-3.5629637480843122</c:v>
                </c:pt>
                <c:pt idx="26">
                  <c:v>-1.8089641034944945</c:v>
                </c:pt>
                <c:pt idx="27">
                  <c:v>-1.2762872643745005E-15</c:v>
                </c:pt>
                <c:pt idx="28">
                  <c:v>1.8089641034944921</c:v>
                </c:pt>
                <c:pt idx="29">
                  <c:v>3.5629637480843179</c:v>
                </c:pt>
                <c:pt idx="30">
                  <c:v>5.2087045421352443</c:v>
                </c:pt>
                <c:pt idx="31">
                  <c:v>6.6961814844050656</c:v>
                </c:pt>
                <c:pt idx="32">
                  <c:v>7.9801983407025645</c:v>
                </c:pt>
                <c:pt idx="33">
                  <c:v>9.0217409085930225</c:v>
                </c:pt>
                <c:pt idx="34">
                  <c:v>9.7891624441970624</c:v>
                </c:pt>
                <c:pt idx="35">
                  <c:v>10.259145232489379</c:v>
                </c:pt>
                <c:pt idx="36">
                  <c:v>10.417409084270485</c:v>
                </c:pt>
              </c:numCache>
            </c:numRef>
          </c:xVal>
          <c:yVal>
            <c:numRef>
              <c:f>Curve!$R$4:$R$40</c:f>
              <c:numCache>
                <c:formatCode>0.00</c:formatCode>
                <c:ptCount val="37"/>
                <c:pt idx="0">
                  <c:v>-12.220563750547687</c:v>
                </c:pt>
                <c:pt idx="1">
                  <c:v>-10.41159964705319</c:v>
                </c:pt>
                <c:pt idx="2">
                  <c:v>-8.6576000024633721</c:v>
                </c:pt>
                <c:pt idx="3">
                  <c:v>-7.0118592084124449</c:v>
                </c:pt>
                <c:pt idx="4">
                  <c:v>-5.5243822661426218</c:v>
                </c:pt>
                <c:pt idx="5">
                  <c:v>-4.2403654098451202</c:v>
                </c:pt>
                <c:pt idx="6">
                  <c:v>-3.1988228419546605</c:v>
                </c:pt>
                <c:pt idx="7">
                  <c:v>-2.4314013063506259</c:v>
                </c:pt>
                <c:pt idx="8">
                  <c:v>-1.9614185180583077</c:v>
                </c:pt>
                <c:pt idx="9">
                  <c:v>-1.8031546662772018</c:v>
                </c:pt>
                <c:pt idx="10">
                  <c:v>-1.9614185180583077</c:v>
                </c:pt>
                <c:pt idx="11">
                  <c:v>-2.4314013063506241</c:v>
                </c:pt>
                <c:pt idx="12">
                  <c:v>-3.1988228419546605</c:v>
                </c:pt>
                <c:pt idx="13">
                  <c:v>-4.2403654098451202</c:v>
                </c:pt>
                <c:pt idx="14">
                  <c:v>-5.5243822661426192</c:v>
                </c:pt>
                <c:pt idx="15">
                  <c:v>-7.0118592084124449</c:v>
                </c:pt>
                <c:pt idx="16">
                  <c:v>-8.6576000024633704</c:v>
                </c:pt>
                <c:pt idx="17">
                  <c:v>-10.411599647053192</c:v>
                </c:pt>
                <c:pt idx="18">
                  <c:v>-12.220563750547685</c:v>
                </c:pt>
                <c:pt idx="19">
                  <c:v>-14.029527854042183</c:v>
                </c:pt>
                <c:pt idx="20">
                  <c:v>-15.783527498632001</c:v>
                </c:pt>
                <c:pt idx="21">
                  <c:v>-17.429268292682931</c:v>
                </c:pt>
                <c:pt idx="22">
                  <c:v>-18.916745234952749</c:v>
                </c:pt>
                <c:pt idx="23">
                  <c:v>-20.200762091250251</c:v>
                </c:pt>
                <c:pt idx="24">
                  <c:v>-21.242304659140707</c:v>
                </c:pt>
                <c:pt idx="25">
                  <c:v>-22.009726194744751</c:v>
                </c:pt>
                <c:pt idx="26">
                  <c:v>-22.479708983037064</c:v>
                </c:pt>
                <c:pt idx="27">
                  <c:v>-22.637972834818171</c:v>
                </c:pt>
                <c:pt idx="28">
                  <c:v>-22.479708983037067</c:v>
                </c:pt>
                <c:pt idx="29">
                  <c:v>-22.009726194744747</c:v>
                </c:pt>
                <c:pt idx="30">
                  <c:v>-21.242304659140714</c:v>
                </c:pt>
                <c:pt idx="31">
                  <c:v>-20.200762091250255</c:v>
                </c:pt>
                <c:pt idx="32">
                  <c:v>-18.916745234952757</c:v>
                </c:pt>
                <c:pt idx="33">
                  <c:v>-17.429268292682934</c:v>
                </c:pt>
                <c:pt idx="34">
                  <c:v>-15.783527498632001</c:v>
                </c:pt>
                <c:pt idx="35">
                  <c:v>-14.029527854042183</c:v>
                </c:pt>
                <c:pt idx="36">
                  <c:v>-12.220563750547688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82-4FB5-A9FA-51736A04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48112"/>
        <c:axId val="156811440"/>
      </c:scatterChart>
      <c:valAx>
        <c:axId val="1608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1440"/>
        <c:crosses val="autoZero"/>
        <c:crossBetween val="midCat"/>
      </c:valAx>
      <c:valAx>
        <c:axId val="1568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0.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930148949162332"/>
          <c:y val="0.40245775729646699"/>
          <c:w val="0.22195839304991438"/>
          <c:h val="7.0276860553721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558800</xdr:colOff>
      <xdr:row>4</xdr:row>
      <xdr:rowOff>0</xdr:rowOff>
    </xdr:from>
    <xdr:to>
      <xdr:col>23</xdr:col>
      <xdr:colOff>98426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9F677-FD2E-4E4F-8319-15D7F9F2C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50</xdr:row>
      <xdr:rowOff>6350</xdr:rowOff>
    </xdr:from>
    <xdr:to>
      <xdr:col>23</xdr:col>
      <xdr:colOff>130176</xdr:colOff>
      <xdr:row>72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EF822-1393-4D29-AF33-618D15F33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185D-BACC-45FC-BF07-42D64ECC2350}">
  <dimension ref="A1:T83"/>
  <sheetViews>
    <sheetView tabSelected="1" zoomScaleNormal="100" workbookViewId="0">
      <selection activeCell="G12" sqref="G12:I12"/>
    </sheetView>
  </sheetViews>
  <sheetFormatPr defaultRowHeight="15" x14ac:dyDescent="0.25"/>
  <sheetData>
    <row r="1" spans="1:20" x14ac:dyDescent="0.25">
      <c r="A1" s="1"/>
      <c r="B1" s="9" t="s">
        <v>0</v>
      </c>
      <c r="C1" s="9"/>
      <c r="D1" s="9"/>
      <c r="E1" s="9"/>
      <c r="F1" s="9"/>
      <c r="G1" s="9"/>
      <c r="H1" s="9"/>
      <c r="I1" s="9"/>
      <c r="J1" s="3"/>
      <c r="M1" s="12" t="s">
        <v>32</v>
      </c>
      <c r="N1" s="12"/>
      <c r="O1" s="12"/>
      <c r="P1" s="12"/>
      <c r="Q1" s="12"/>
      <c r="R1" s="12"/>
      <c r="S1" s="12"/>
      <c r="T1" s="12"/>
    </row>
    <row r="2" spans="1:20" x14ac:dyDescent="0.25">
      <c r="A2" s="1"/>
      <c r="B2" s="9" t="s">
        <v>2</v>
      </c>
      <c r="C2" s="9"/>
      <c r="D2" s="9"/>
      <c r="E2" s="9"/>
      <c r="F2" s="9"/>
      <c r="G2" s="14">
        <v>11</v>
      </c>
      <c r="H2" s="14"/>
      <c r="I2" s="14"/>
      <c r="J2" s="1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 s="1"/>
      <c r="B3" s="9" t="s">
        <v>1</v>
      </c>
      <c r="C3" s="9"/>
      <c r="D3" s="9"/>
      <c r="E3" s="9"/>
      <c r="F3" s="9"/>
      <c r="G3" s="14">
        <v>15.829000000000001</v>
      </c>
      <c r="H3" s="14"/>
      <c r="I3" s="14"/>
      <c r="J3" s="1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 s="1"/>
      <c r="B4" s="9" t="s">
        <v>3</v>
      </c>
      <c r="C4" s="9"/>
      <c r="D4" s="9"/>
      <c r="E4" s="9"/>
      <c r="F4" s="9"/>
      <c r="G4" s="14">
        <v>167</v>
      </c>
      <c r="H4" s="14"/>
      <c r="I4" s="14"/>
      <c r="J4" s="1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 s="1"/>
      <c r="B5" s="9" t="s">
        <v>4</v>
      </c>
      <c r="C5" s="9"/>
      <c r="D5" s="9"/>
      <c r="E5" s="9"/>
      <c r="F5" s="9"/>
      <c r="G5" s="14">
        <v>3600</v>
      </c>
      <c r="H5" s="14"/>
      <c r="I5" s="14"/>
      <c r="J5" s="1"/>
    </row>
    <row r="6" spans="1:20" x14ac:dyDescent="0.25">
      <c r="A6" s="1"/>
      <c r="B6" s="9" t="s">
        <v>6</v>
      </c>
      <c r="C6" s="9"/>
      <c r="D6" s="9"/>
      <c r="E6" s="9"/>
      <c r="F6" s="9"/>
      <c r="G6" s="13">
        <v>118</v>
      </c>
      <c r="H6" s="13"/>
      <c r="I6" s="13"/>
      <c r="J6" s="1"/>
    </row>
    <row r="7" spans="1:20" x14ac:dyDescent="0.25">
      <c r="A7" s="1"/>
      <c r="B7" s="9" t="s">
        <v>5</v>
      </c>
      <c r="C7" s="9"/>
      <c r="D7" s="9"/>
      <c r="E7" s="9"/>
      <c r="F7" s="9"/>
      <c r="G7" s="13">
        <v>20</v>
      </c>
      <c r="H7" s="13"/>
      <c r="I7" s="13"/>
      <c r="J7" s="1"/>
    </row>
    <row r="8" spans="1:20" ht="18" x14ac:dyDescent="0.35">
      <c r="A8" s="2"/>
      <c r="B8" s="9" t="s">
        <v>7</v>
      </c>
      <c r="C8" s="9"/>
      <c r="D8" s="9"/>
      <c r="E8" s="9"/>
      <c r="F8" s="9"/>
      <c r="G8" s="13">
        <f>(G2^2/G3)*G5/G4</f>
        <v>164.78509277483948</v>
      </c>
      <c r="H8" s="13"/>
      <c r="I8" s="13"/>
      <c r="J8" s="1"/>
    </row>
    <row r="9" spans="1:20" x14ac:dyDescent="0.25">
      <c r="A9" s="2"/>
      <c r="B9" s="1"/>
      <c r="C9" s="1"/>
      <c r="D9" s="1"/>
      <c r="E9" s="1"/>
      <c r="F9" s="1"/>
      <c r="G9" s="1"/>
      <c r="H9" s="1"/>
      <c r="I9" s="1"/>
      <c r="J9" s="1"/>
    </row>
    <row r="10" spans="1:20" x14ac:dyDescent="0.25">
      <c r="A10" s="2"/>
      <c r="B10" s="9" t="s">
        <v>8</v>
      </c>
      <c r="C10" s="9"/>
      <c r="D10" s="9"/>
      <c r="E10" s="9"/>
      <c r="F10" s="9"/>
      <c r="G10" s="9"/>
      <c r="H10" s="9"/>
      <c r="I10" s="9"/>
      <c r="J10" s="3"/>
    </row>
    <row r="11" spans="1:20" x14ac:dyDescent="0.25">
      <c r="A11" s="2"/>
      <c r="B11" s="9" t="s">
        <v>9</v>
      </c>
      <c r="C11" s="9"/>
      <c r="D11" s="9"/>
      <c r="E11" s="9"/>
      <c r="F11" s="9"/>
      <c r="G11" s="10"/>
      <c r="H11" s="10"/>
      <c r="I11" s="10"/>
      <c r="J11" s="2"/>
    </row>
    <row r="12" spans="1:20" x14ac:dyDescent="0.25">
      <c r="A12" s="2"/>
      <c r="B12" s="9" t="s">
        <v>10</v>
      </c>
      <c r="C12" s="9"/>
      <c r="D12" s="9"/>
      <c r="E12" s="9"/>
      <c r="F12" s="9"/>
      <c r="G12" s="10"/>
      <c r="H12" s="10"/>
      <c r="I12" s="10"/>
      <c r="J12" s="2"/>
    </row>
    <row r="13" spans="1:20" x14ac:dyDescent="0.25">
      <c r="A13" s="2"/>
      <c r="B13" s="9" t="s">
        <v>24</v>
      </c>
      <c r="C13" s="9"/>
      <c r="D13" s="9"/>
      <c r="E13" s="9"/>
      <c r="F13" s="9"/>
      <c r="G13" s="9"/>
      <c r="H13" s="9"/>
      <c r="I13" s="9"/>
      <c r="J13" s="2"/>
    </row>
    <row r="14" spans="1:20" x14ac:dyDescent="0.25">
      <c r="A14" s="2"/>
      <c r="B14" s="9" t="s">
        <v>13</v>
      </c>
      <c r="C14" s="9"/>
      <c r="D14" s="9"/>
      <c r="E14" s="9"/>
      <c r="F14" s="9"/>
      <c r="G14" s="10">
        <v>114.7</v>
      </c>
      <c r="H14" s="10"/>
      <c r="I14" s="10"/>
      <c r="J14" s="2"/>
    </row>
    <row r="15" spans="1:20" x14ac:dyDescent="0.25">
      <c r="A15" s="2"/>
      <c r="B15" s="9" t="s">
        <v>12</v>
      </c>
      <c r="C15" s="9"/>
      <c r="D15" s="9"/>
      <c r="E15" s="9"/>
      <c r="F15" s="9"/>
      <c r="G15" s="10">
        <v>-12.6</v>
      </c>
      <c r="H15" s="10"/>
      <c r="I15" s="10"/>
      <c r="J15" s="2"/>
    </row>
    <row r="16" spans="1:20" x14ac:dyDescent="0.25">
      <c r="A16" s="2"/>
      <c r="B16" s="9" t="s">
        <v>11</v>
      </c>
      <c r="C16" s="9"/>
      <c r="D16" s="9"/>
      <c r="E16" s="9"/>
      <c r="F16" s="9"/>
      <c r="G16" s="10">
        <v>0.5</v>
      </c>
      <c r="H16" s="10"/>
      <c r="I16" s="10"/>
      <c r="J16" s="2"/>
    </row>
    <row r="17" spans="1:10" x14ac:dyDescent="0.25">
      <c r="A17" s="2"/>
      <c r="B17" s="9" t="s">
        <v>25</v>
      </c>
      <c r="C17" s="9"/>
      <c r="D17" s="9"/>
      <c r="E17" s="9"/>
      <c r="F17" s="9"/>
      <c r="G17" s="9"/>
      <c r="H17" s="9"/>
      <c r="I17" s="9"/>
      <c r="J17" s="2"/>
    </row>
    <row r="18" spans="1:10" x14ac:dyDescent="0.25">
      <c r="A18" s="2"/>
      <c r="B18" s="9" t="s">
        <v>14</v>
      </c>
      <c r="C18" s="9"/>
      <c r="D18" s="9"/>
      <c r="E18" s="9"/>
      <c r="F18" s="9"/>
      <c r="G18" s="10">
        <v>149.1</v>
      </c>
      <c r="H18" s="10"/>
      <c r="I18" s="10"/>
      <c r="J18" s="2"/>
    </row>
    <row r="19" spans="1:10" x14ac:dyDescent="0.25">
      <c r="A19" s="2"/>
      <c r="B19" s="9" t="s">
        <v>15</v>
      </c>
      <c r="C19" s="9"/>
      <c r="D19" s="9"/>
      <c r="E19" s="9"/>
      <c r="F19" s="9"/>
      <c r="G19" s="10">
        <v>-12.6</v>
      </c>
      <c r="H19" s="10"/>
      <c r="I19" s="10"/>
      <c r="J19" s="2"/>
    </row>
    <row r="20" spans="1:10" x14ac:dyDescent="0.25">
      <c r="A20" s="1"/>
      <c r="B20" s="9" t="s">
        <v>16</v>
      </c>
      <c r="C20" s="9"/>
      <c r="D20" s="9"/>
      <c r="E20" s="9"/>
      <c r="F20" s="9"/>
      <c r="G20" s="10">
        <v>3</v>
      </c>
      <c r="H20" s="10"/>
      <c r="I20" s="10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9" t="s">
        <v>17</v>
      </c>
      <c r="C23" s="9"/>
      <c r="D23" s="9"/>
      <c r="E23" s="9"/>
      <c r="F23" s="9"/>
      <c r="G23" s="9"/>
      <c r="H23" s="9"/>
      <c r="I23" s="9"/>
      <c r="J23" s="1"/>
    </row>
    <row r="24" spans="1:10" x14ac:dyDescent="0.25">
      <c r="A24" s="1"/>
      <c r="B24" s="9" t="s">
        <v>19</v>
      </c>
      <c r="C24" s="9"/>
      <c r="D24" s="9"/>
      <c r="E24" s="9"/>
      <c r="F24" s="9"/>
      <c r="G24" s="10">
        <f>(G14/2)+ABS(G15)</f>
        <v>69.95</v>
      </c>
      <c r="H24" s="10"/>
      <c r="I24" s="10"/>
      <c r="J24" s="1"/>
    </row>
    <row r="25" spans="1:10" x14ac:dyDescent="0.25">
      <c r="A25" s="1"/>
      <c r="B25" s="9" t="s">
        <v>18</v>
      </c>
      <c r="C25" s="9"/>
      <c r="D25" s="9"/>
      <c r="E25" s="9"/>
      <c r="F25" s="9"/>
      <c r="G25" s="10">
        <f>IF(G15&lt;0,270,"IDK")</f>
        <v>270</v>
      </c>
      <c r="H25" s="10"/>
      <c r="I25" s="10"/>
      <c r="J25" s="1"/>
    </row>
    <row r="26" spans="1:10" x14ac:dyDescent="0.25">
      <c r="A26" s="1"/>
      <c r="B26" s="9" t="s">
        <v>20</v>
      </c>
      <c r="C26" s="9"/>
      <c r="D26" s="9"/>
      <c r="E26" s="9"/>
      <c r="F26" s="9"/>
      <c r="G26" s="10">
        <f>G14/2</f>
        <v>57.35</v>
      </c>
      <c r="H26" s="10"/>
      <c r="I26" s="10"/>
      <c r="J26" s="1"/>
    </row>
    <row r="27" spans="1:10" x14ac:dyDescent="0.25">
      <c r="A27" s="1"/>
      <c r="B27" s="9" t="s">
        <v>21</v>
      </c>
      <c r="C27" s="9"/>
      <c r="D27" s="9"/>
      <c r="E27" s="9"/>
      <c r="F27" s="9"/>
      <c r="G27" s="10">
        <v>360</v>
      </c>
      <c r="H27" s="10"/>
      <c r="I27" s="10"/>
      <c r="J27" s="1"/>
    </row>
    <row r="28" spans="1:10" x14ac:dyDescent="0.25">
      <c r="A28" s="1"/>
      <c r="B28" s="9" t="s">
        <v>22</v>
      </c>
      <c r="C28" s="9"/>
      <c r="D28" s="9"/>
      <c r="E28" s="9"/>
      <c r="F28" s="9"/>
      <c r="G28" s="10">
        <v>0</v>
      </c>
      <c r="H28" s="10"/>
      <c r="I28" s="10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9" t="s">
        <v>23</v>
      </c>
      <c r="C30" s="9"/>
      <c r="D30" s="9"/>
      <c r="E30" s="9"/>
      <c r="F30" s="9"/>
      <c r="G30" s="9"/>
      <c r="H30" s="9"/>
      <c r="I30" s="9"/>
      <c r="J30" s="1"/>
    </row>
    <row r="31" spans="1:10" x14ac:dyDescent="0.25">
      <c r="A31" s="1"/>
      <c r="B31" s="9" t="s">
        <v>19</v>
      </c>
      <c r="C31" s="9"/>
      <c r="D31" s="9"/>
      <c r="E31" s="9"/>
      <c r="F31" s="9"/>
      <c r="G31" s="10">
        <f>(G18/2)+ABS(G19)</f>
        <v>87.149999999999991</v>
      </c>
      <c r="H31" s="10"/>
      <c r="I31" s="10"/>
      <c r="J31" s="1"/>
    </row>
    <row r="32" spans="1:10" x14ac:dyDescent="0.25">
      <c r="A32" s="1"/>
      <c r="B32" s="9" t="s">
        <v>18</v>
      </c>
      <c r="C32" s="9"/>
      <c r="D32" s="9"/>
      <c r="E32" s="9"/>
      <c r="F32" s="9"/>
      <c r="G32" s="10">
        <f>IF(G19&lt;0,270,"IDK")</f>
        <v>270</v>
      </c>
      <c r="H32" s="10"/>
      <c r="I32" s="10"/>
      <c r="J32" s="1"/>
    </row>
    <row r="33" spans="1:20" x14ac:dyDescent="0.25">
      <c r="A33" s="1"/>
      <c r="B33" s="9" t="s">
        <v>20</v>
      </c>
      <c r="C33" s="9"/>
      <c r="D33" s="9"/>
      <c r="E33" s="9"/>
      <c r="F33" s="9"/>
      <c r="G33" s="10">
        <f>G18/2</f>
        <v>74.55</v>
      </c>
      <c r="H33" s="10"/>
      <c r="I33" s="10"/>
      <c r="J33" s="1"/>
    </row>
    <row r="34" spans="1:20" x14ac:dyDescent="0.25">
      <c r="A34" s="1"/>
      <c r="B34" s="9" t="s">
        <v>21</v>
      </c>
      <c r="C34" s="9"/>
      <c r="D34" s="9"/>
      <c r="E34" s="9"/>
      <c r="F34" s="9"/>
      <c r="G34" s="10">
        <v>360</v>
      </c>
      <c r="H34" s="10"/>
      <c r="I34" s="10"/>
      <c r="J34" s="1"/>
    </row>
    <row r="35" spans="1:20" x14ac:dyDescent="0.25">
      <c r="A35" s="1"/>
      <c r="B35" s="9" t="s">
        <v>22</v>
      </c>
      <c r="C35" s="9"/>
      <c r="D35" s="9"/>
      <c r="E35" s="9"/>
      <c r="F35" s="9"/>
      <c r="G35" s="10">
        <v>0</v>
      </c>
      <c r="H35" s="10"/>
      <c r="I35" s="10"/>
      <c r="J35" s="1"/>
    </row>
    <row r="36" spans="1:2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47" spans="1:20" ht="23.25" x14ac:dyDescent="0.35">
      <c r="A47" s="11" t="s">
        <v>31</v>
      </c>
      <c r="B47" s="11"/>
      <c r="C47" s="11"/>
      <c r="D47" s="11"/>
      <c r="E47" s="11"/>
      <c r="F47" s="11"/>
      <c r="G47" s="11"/>
      <c r="H47" s="11"/>
      <c r="I47" s="11"/>
      <c r="J47" s="11"/>
      <c r="M47" s="12" t="s">
        <v>33</v>
      </c>
      <c r="N47" s="12"/>
      <c r="O47" s="12"/>
      <c r="P47" s="12"/>
      <c r="Q47" s="12"/>
      <c r="R47" s="12"/>
      <c r="S47" s="12"/>
      <c r="T47" s="12"/>
    </row>
    <row r="48" spans="1:20" x14ac:dyDescent="0.25">
      <c r="A48" s="1"/>
      <c r="B48" s="9" t="s">
        <v>0</v>
      </c>
      <c r="C48" s="9"/>
      <c r="D48" s="9"/>
      <c r="E48" s="9"/>
      <c r="F48" s="9"/>
      <c r="G48" s="9"/>
      <c r="H48" s="9"/>
      <c r="I48" s="9"/>
      <c r="J48" s="3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1"/>
      <c r="B49" s="9" t="s">
        <v>2</v>
      </c>
      <c r="C49" s="9"/>
      <c r="D49" s="9"/>
      <c r="E49" s="9"/>
      <c r="F49" s="9"/>
      <c r="G49" s="14">
        <v>20</v>
      </c>
      <c r="H49" s="14"/>
      <c r="I49" s="14"/>
      <c r="J49" s="1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1"/>
      <c r="B50" s="9" t="s">
        <v>1</v>
      </c>
      <c r="C50" s="9"/>
      <c r="D50" s="9"/>
      <c r="E50" s="9"/>
      <c r="F50" s="9"/>
      <c r="G50" s="14">
        <v>492</v>
      </c>
      <c r="H50" s="14"/>
      <c r="I50" s="14"/>
      <c r="J50" s="1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1"/>
      <c r="B51" s="9" t="s">
        <v>3</v>
      </c>
      <c r="C51" s="9"/>
      <c r="D51" s="9"/>
      <c r="E51" s="9"/>
      <c r="F51" s="9"/>
      <c r="G51" s="14">
        <v>167</v>
      </c>
      <c r="H51" s="14"/>
      <c r="I51" s="14"/>
      <c r="J51" s="1"/>
    </row>
    <row r="52" spans="1:20" x14ac:dyDescent="0.25">
      <c r="A52" s="1"/>
      <c r="B52" s="9" t="s">
        <v>4</v>
      </c>
      <c r="C52" s="9"/>
      <c r="D52" s="9"/>
      <c r="E52" s="9"/>
      <c r="F52" s="9"/>
      <c r="G52" s="14">
        <v>3600</v>
      </c>
      <c r="H52" s="14"/>
      <c r="I52" s="14"/>
      <c r="J52" s="1"/>
    </row>
    <row r="53" spans="1:20" x14ac:dyDescent="0.25">
      <c r="A53" s="1"/>
      <c r="B53" s="9" t="s">
        <v>6</v>
      </c>
      <c r="C53" s="9"/>
      <c r="D53" s="9"/>
      <c r="E53" s="9"/>
      <c r="F53" s="9"/>
      <c r="G53" s="13">
        <v>1.1888000000000001</v>
      </c>
      <c r="H53" s="13"/>
      <c r="I53" s="13"/>
      <c r="J53" s="1"/>
    </row>
    <row r="54" spans="1:20" x14ac:dyDescent="0.25">
      <c r="A54" s="1"/>
      <c r="B54" s="9" t="s">
        <v>5</v>
      </c>
      <c r="C54" s="9"/>
      <c r="D54" s="9"/>
      <c r="E54" s="9"/>
      <c r="F54" s="9"/>
      <c r="G54" s="13">
        <v>0.20577000000000001</v>
      </c>
      <c r="H54" s="13"/>
      <c r="I54" s="13"/>
      <c r="J54" s="1"/>
    </row>
    <row r="55" spans="1:20" ht="18" x14ac:dyDescent="0.35">
      <c r="A55" s="2"/>
      <c r="B55" s="9" t="s">
        <v>7</v>
      </c>
      <c r="C55" s="9"/>
      <c r="D55" s="9"/>
      <c r="E55" s="9"/>
      <c r="F55" s="9"/>
      <c r="G55" s="13">
        <f>(G49^2/G50)*G52/G51</f>
        <v>17.525923762231635</v>
      </c>
      <c r="H55" s="13"/>
      <c r="I55" s="13"/>
      <c r="J55" s="1"/>
    </row>
    <row r="56" spans="1:20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</row>
    <row r="57" spans="1:20" x14ac:dyDescent="0.25">
      <c r="A57" s="2"/>
      <c r="B57" s="9" t="s">
        <v>8</v>
      </c>
      <c r="C57" s="9"/>
      <c r="D57" s="9"/>
      <c r="E57" s="9"/>
      <c r="F57" s="9"/>
      <c r="G57" s="9"/>
      <c r="H57" s="9"/>
      <c r="I57" s="9"/>
      <c r="J57" s="3"/>
    </row>
    <row r="58" spans="1:20" x14ac:dyDescent="0.25">
      <c r="A58" s="2"/>
      <c r="B58" s="9" t="s">
        <v>9</v>
      </c>
      <c r="C58" s="9"/>
      <c r="D58" s="9"/>
      <c r="E58" s="9"/>
      <c r="F58" s="9"/>
      <c r="G58" s="10">
        <f>G49*1000/G51</f>
        <v>119.76047904191617</v>
      </c>
      <c r="H58" s="10"/>
      <c r="I58" s="10"/>
      <c r="J58" s="2"/>
    </row>
    <row r="59" spans="1:20" x14ac:dyDescent="0.25">
      <c r="A59" s="2"/>
      <c r="B59" s="9" t="s">
        <v>10</v>
      </c>
      <c r="C59" s="9"/>
      <c r="D59" s="9"/>
      <c r="E59" s="9"/>
      <c r="F59" s="9"/>
      <c r="G59" s="10">
        <f>(G50*1000000)/(SQRT(3)*G49*1000)/G52</f>
        <v>3.945226839462443</v>
      </c>
      <c r="H59" s="10"/>
      <c r="I59" s="10"/>
      <c r="J59" s="2"/>
    </row>
    <row r="60" spans="1:20" x14ac:dyDescent="0.25">
      <c r="A60" s="2"/>
      <c r="B60" s="9" t="s">
        <v>24</v>
      </c>
      <c r="C60" s="9"/>
      <c r="D60" s="9"/>
      <c r="E60" s="9"/>
      <c r="F60" s="9"/>
      <c r="G60" s="9"/>
      <c r="H60" s="9"/>
      <c r="I60" s="9"/>
      <c r="J60" s="2"/>
    </row>
    <row r="61" spans="1:20" x14ac:dyDescent="0.25">
      <c r="A61" s="2"/>
      <c r="B61" s="9" t="s">
        <v>13</v>
      </c>
      <c r="C61" s="9"/>
      <c r="D61" s="9"/>
      <c r="E61" s="9"/>
      <c r="F61" s="9"/>
      <c r="G61" s="10">
        <f>G58/(SQRT(3)*G59)</f>
        <v>17.525923762231635</v>
      </c>
      <c r="H61" s="10"/>
      <c r="I61" s="10"/>
      <c r="J61" s="2"/>
    </row>
    <row r="62" spans="1:20" x14ac:dyDescent="0.25">
      <c r="A62" s="2"/>
      <c r="B62" s="9" t="s">
        <v>12</v>
      </c>
      <c r="C62" s="9"/>
      <c r="D62" s="9"/>
      <c r="E62" s="9"/>
      <c r="F62" s="9"/>
      <c r="G62" s="10">
        <f>-G54*G55/2</f>
        <v>-1.8031546662772018</v>
      </c>
      <c r="H62" s="10"/>
      <c r="I62" s="10"/>
      <c r="J62" s="2"/>
    </row>
    <row r="63" spans="1:20" x14ac:dyDescent="0.25">
      <c r="A63" s="2"/>
      <c r="B63" s="9" t="s">
        <v>11</v>
      </c>
      <c r="C63" s="9"/>
      <c r="D63" s="9"/>
      <c r="E63" s="9"/>
      <c r="F63" s="9"/>
      <c r="G63" s="10">
        <v>0.1</v>
      </c>
      <c r="H63" s="10"/>
      <c r="I63" s="10"/>
      <c r="J63" s="2"/>
    </row>
    <row r="64" spans="1:20" x14ac:dyDescent="0.25">
      <c r="A64" s="2"/>
      <c r="B64" s="9" t="s">
        <v>25</v>
      </c>
      <c r="C64" s="9"/>
      <c r="D64" s="9"/>
      <c r="E64" s="9"/>
      <c r="F64" s="9"/>
      <c r="G64" s="9"/>
      <c r="H64" s="9"/>
      <c r="I64" s="9"/>
      <c r="J64" s="2"/>
    </row>
    <row r="65" spans="1:10" x14ac:dyDescent="0.25">
      <c r="A65" s="2"/>
      <c r="B65" s="9" t="s">
        <v>14</v>
      </c>
      <c r="C65" s="9"/>
      <c r="D65" s="9"/>
      <c r="E65" s="9"/>
      <c r="F65" s="9"/>
      <c r="G65" s="10">
        <f>G53*G55</f>
        <v>20.83481816854097</v>
      </c>
      <c r="H65" s="10"/>
      <c r="I65" s="10"/>
      <c r="J65" s="2"/>
    </row>
    <row r="66" spans="1:10" x14ac:dyDescent="0.25">
      <c r="A66" s="2"/>
      <c r="B66" s="9" t="s">
        <v>15</v>
      </c>
      <c r="C66" s="9"/>
      <c r="D66" s="9"/>
      <c r="E66" s="9"/>
      <c r="F66" s="9"/>
      <c r="G66" s="10">
        <f>G62</f>
        <v>-1.8031546662772018</v>
      </c>
      <c r="H66" s="10"/>
      <c r="I66" s="10"/>
      <c r="J66" s="2"/>
    </row>
    <row r="67" spans="1:10" x14ac:dyDescent="0.25">
      <c r="A67" s="1"/>
      <c r="B67" s="9" t="s">
        <v>16</v>
      </c>
      <c r="C67" s="9"/>
      <c r="D67" s="9"/>
      <c r="E67" s="9"/>
      <c r="F67" s="9"/>
      <c r="G67" s="10">
        <v>0.5</v>
      </c>
      <c r="H67" s="10"/>
      <c r="I67" s="10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9" t="s">
        <v>17</v>
      </c>
      <c r="C70" s="9"/>
      <c r="D70" s="9"/>
      <c r="E70" s="9"/>
      <c r="F70" s="9"/>
      <c r="G70" s="9"/>
      <c r="H70" s="9"/>
      <c r="I70" s="9"/>
      <c r="J70" s="1"/>
    </row>
    <row r="71" spans="1:10" x14ac:dyDescent="0.25">
      <c r="A71" s="1"/>
      <c r="B71" s="9" t="s">
        <v>19</v>
      </c>
      <c r="C71" s="9"/>
      <c r="D71" s="9"/>
      <c r="E71" s="9"/>
      <c r="F71" s="9"/>
      <c r="G71" s="10">
        <f>(G61/2)+ABS(G62)</f>
        <v>10.566116547393019</v>
      </c>
      <c r="H71" s="10"/>
      <c r="I71" s="10"/>
      <c r="J71" s="1"/>
    </row>
    <row r="72" spans="1:10" x14ac:dyDescent="0.25">
      <c r="A72" s="1"/>
      <c r="B72" s="9" t="s">
        <v>18</v>
      </c>
      <c r="C72" s="9"/>
      <c r="D72" s="9"/>
      <c r="E72" s="9"/>
      <c r="F72" s="9"/>
      <c r="G72" s="10">
        <f>IF(G62&lt;0,270,"IDK")</f>
        <v>270</v>
      </c>
      <c r="H72" s="10"/>
      <c r="I72" s="10"/>
      <c r="J72" s="1"/>
    </row>
    <row r="73" spans="1:10" x14ac:dyDescent="0.25">
      <c r="A73" s="1"/>
      <c r="B73" s="9" t="s">
        <v>20</v>
      </c>
      <c r="C73" s="9"/>
      <c r="D73" s="9"/>
      <c r="E73" s="9"/>
      <c r="F73" s="9"/>
      <c r="G73" s="10">
        <f>G61/2</f>
        <v>8.7629618811158174</v>
      </c>
      <c r="H73" s="10"/>
      <c r="I73" s="10"/>
      <c r="J73" s="1"/>
    </row>
    <row r="74" spans="1:10" x14ac:dyDescent="0.25">
      <c r="A74" s="1"/>
      <c r="B74" s="9" t="s">
        <v>21</v>
      </c>
      <c r="C74" s="9"/>
      <c r="D74" s="9"/>
      <c r="E74" s="9"/>
      <c r="F74" s="9"/>
      <c r="G74" s="10">
        <v>360</v>
      </c>
      <c r="H74" s="10"/>
      <c r="I74" s="10"/>
      <c r="J74" s="1"/>
    </row>
    <row r="75" spans="1:10" x14ac:dyDescent="0.25">
      <c r="A75" s="1"/>
      <c r="B75" s="9" t="s">
        <v>22</v>
      </c>
      <c r="C75" s="9"/>
      <c r="D75" s="9"/>
      <c r="E75" s="9"/>
      <c r="F75" s="9"/>
      <c r="G75" s="10">
        <v>0</v>
      </c>
      <c r="H75" s="10"/>
      <c r="I75" s="10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9" t="s">
        <v>23</v>
      </c>
      <c r="C77" s="9"/>
      <c r="D77" s="9"/>
      <c r="E77" s="9"/>
      <c r="F77" s="9"/>
      <c r="G77" s="9"/>
      <c r="H77" s="9"/>
      <c r="I77" s="9"/>
      <c r="J77" s="1"/>
    </row>
    <row r="78" spans="1:10" x14ac:dyDescent="0.25">
      <c r="A78" s="1"/>
      <c r="B78" s="9" t="s">
        <v>19</v>
      </c>
      <c r="C78" s="9"/>
      <c r="D78" s="9"/>
      <c r="E78" s="9"/>
      <c r="F78" s="9"/>
      <c r="G78" s="10">
        <f>(G65/2)+ABS(G66)</f>
        <v>12.220563750547687</v>
      </c>
      <c r="H78" s="10"/>
      <c r="I78" s="10"/>
      <c r="J78" s="1"/>
    </row>
    <row r="79" spans="1:10" x14ac:dyDescent="0.25">
      <c r="A79" s="1"/>
      <c r="B79" s="9" t="s">
        <v>18</v>
      </c>
      <c r="C79" s="9"/>
      <c r="D79" s="9"/>
      <c r="E79" s="9"/>
      <c r="F79" s="9"/>
      <c r="G79" s="10">
        <f>IF(G66&lt;0,270,"IDK")</f>
        <v>270</v>
      </c>
      <c r="H79" s="10"/>
      <c r="I79" s="10"/>
      <c r="J79" s="1"/>
    </row>
    <row r="80" spans="1:10" x14ac:dyDescent="0.25">
      <c r="A80" s="1"/>
      <c r="B80" s="9" t="s">
        <v>20</v>
      </c>
      <c r="C80" s="9"/>
      <c r="D80" s="9"/>
      <c r="E80" s="9"/>
      <c r="F80" s="9"/>
      <c r="G80" s="10">
        <f>G65/2</f>
        <v>10.417409084270485</v>
      </c>
      <c r="H80" s="10"/>
      <c r="I80" s="10"/>
      <c r="J80" s="1"/>
    </row>
    <row r="81" spans="1:10" x14ac:dyDescent="0.25">
      <c r="A81" s="1"/>
      <c r="B81" s="9" t="s">
        <v>21</v>
      </c>
      <c r="C81" s="9"/>
      <c r="D81" s="9"/>
      <c r="E81" s="9"/>
      <c r="F81" s="9"/>
      <c r="G81" s="10">
        <v>360</v>
      </c>
      <c r="H81" s="10"/>
      <c r="I81" s="10"/>
      <c r="J81" s="1"/>
    </row>
    <row r="82" spans="1:10" x14ac:dyDescent="0.25">
      <c r="A82" s="1"/>
      <c r="B82" s="9" t="s">
        <v>22</v>
      </c>
      <c r="C82" s="9"/>
      <c r="D82" s="9"/>
      <c r="E82" s="9"/>
      <c r="F82" s="9"/>
      <c r="G82" s="10">
        <v>0</v>
      </c>
      <c r="H82" s="10"/>
      <c r="I82" s="10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115">
    <mergeCell ref="G2:I2"/>
    <mergeCell ref="B4:F4"/>
    <mergeCell ref="B5:F5"/>
    <mergeCell ref="B6:F6"/>
    <mergeCell ref="B7:F7"/>
    <mergeCell ref="B8:F8"/>
    <mergeCell ref="G3:I3"/>
    <mergeCell ref="G4:I4"/>
    <mergeCell ref="G5:I5"/>
    <mergeCell ref="G6:I6"/>
    <mergeCell ref="G7:I7"/>
    <mergeCell ref="G8:I8"/>
    <mergeCell ref="B1:I1"/>
    <mergeCell ref="B23:I23"/>
    <mergeCell ref="B24:F24"/>
    <mergeCell ref="G24:I24"/>
    <mergeCell ref="B25:F25"/>
    <mergeCell ref="B19:F19"/>
    <mergeCell ref="G19:I19"/>
    <mergeCell ref="B20:F20"/>
    <mergeCell ref="G20:I20"/>
    <mergeCell ref="B15:F15"/>
    <mergeCell ref="G15:I15"/>
    <mergeCell ref="B16:F16"/>
    <mergeCell ref="G16:I16"/>
    <mergeCell ref="B18:F18"/>
    <mergeCell ref="G18:I18"/>
    <mergeCell ref="B11:F11"/>
    <mergeCell ref="G11:I11"/>
    <mergeCell ref="B12:F12"/>
    <mergeCell ref="G12:I12"/>
    <mergeCell ref="B14:F14"/>
    <mergeCell ref="G14:I14"/>
    <mergeCell ref="B10:I10"/>
    <mergeCell ref="B2:F2"/>
    <mergeCell ref="B3:F3"/>
    <mergeCell ref="B13:I13"/>
    <mergeCell ref="B17:I17"/>
    <mergeCell ref="G32:I32"/>
    <mergeCell ref="B30:I30"/>
    <mergeCell ref="B31:F31"/>
    <mergeCell ref="G31:I31"/>
    <mergeCell ref="B32:F32"/>
    <mergeCell ref="G25:I25"/>
    <mergeCell ref="B33:F33"/>
    <mergeCell ref="G33:I33"/>
    <mergeCell ref="B26:F26"/>
    <mergeCell ref="G26:I26"/>
    <mergeCell ref="B27:F27"/>
    <mergeCell ref="G27:I27"/>
    <mergeCell ref="B28:F28"/>
    <mergeCell ref="G28:I28"/>
    <mergeCell ref="B48:I48"/>
    <mergeCell ref="B49:F49"/>
    <mergeCell ref="G49:I49"/>
    <mergeCell ref="B50:F50"/>
    <mergeCell ref="G50:I50"/>
    <mergeCell ref="B51:F51"/>
    <mergeCell ref="G51:I51"/>
    <mergeCell ref="B34:F34"/>
    <mergeCell ref="G34:I34"/>
    <mergeCell ref="B35:F35"/>
    <mergeCell ref="G35:I35"/>
    <mergeCell ref="B55:F55"/>
    <mergeCell ref="G55:I55"/>
    <mergeCell ref="B57:I57"/>
    <mergeCell ref="B58:F58"/>
    <mergeCell ref="G58:I58"/>
    <mergeCell ref="B59:F59"/>
    <mergeCell ref="G59:I59"/>
    <mergeCell ref="B52:F52"/>
    <mergeCell ref="G52:I52"/>
    <mergeCell ref="B53:F53"/>
    <mergeCell ref="G53:I53"/>
    <mergeCell ref="B54:F54"/>
    <mergeCell ref="G54:I54"/>
    <mergeCell ref="G73:I73"/>
    <mergeCell ref="B64:I64"/>
    <mergeCell ref="B65:F65"/>
    <mergeCell ref="G65:I65"/>
    <mergeCell ref="B66:F66"/>
    <mergeCell ref="G66:I66"/>
    <mergeCell ref="B67:F67"/>
    <mergeCell ref="G67:I67"/>
    <mergeCell ref="B60:I60"/>
    <mergeCell ref="B61:F61"/>
    <mergeCell ref="G61:I61"/>
    <mergeCell ref="B62:F62"/>
    <mergeCell ref="G62:I62"/>
    <mergeCell ref="B63:F63"/>
    <mergeCell ref="G63:I63"/>
    <mergeCell ref="B82:F82"/>
    <mergeCell ref="G82:I82"/>
    <mergeCell ref="A47:J47"/>
    <mergeCell ref="M1:T4"/>
    <mergeCell ref="M47:T50"/>
    <mergeCell ref="B79:F79"/>
    <mergeCell ref="G79:I79"/>
    <mergeCell ref="B80:F80"/>
    <mergeCell ref="G80:I80"/>
    <mergeCell ref="B81:F81"/>
    <mergeCell ref="G81:I81"/>
    <mergeCell ref="B74:F74"/>
    <mergeCell ref="G74:I74"/>
    <mergeCell ref="B75:F75"/>
    <mergeCell ref="G75:I75"/>
    <mergeCell ref="B77:I77"/>
    <mergeCell ref="B78:F78"/>
    <mergeCell ref="G78:I78"/>
    <mergeCell ref="B70:I70"/>
    <mergeCell ref="B71:F71"/>
    <mergeCell ref="G71:I71"/>
    <mergeCell ref="B72:F72"/>
    <mergeCell ref="G72:I72"/>
    <mergeCell ref="B73:F73"/>
  </mergeCells>
  <pageMargins left="0.7" right="0.7" top="0.75" bottom="0.75" header="0.3" footer="0.3"/>
  <pageSetup orientation="portrait" r:id="rId1"/>
  <headerFooter>
    <oddHeader>&amp;C&amp;"-,Bold"&amp;22Loss of Field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F4A3-D64E-40E3-AD03-7A7FCA799D4B}">
  <dimension ref="B2:R40"/>
  <sheetViews>
    <sheetView topLeftCell="A5" workbookViewId="0">
      <selection activeCell="R39" sqref="R39"/>
    </sheetView>
  </sheetViews>
  <sheetFormatPr defaultRowHeight="15" x14ac:dyDescent="0.25"/>
  <cols>
    <col min="2" max="2" width="14.7109375" customWidth="1"/>
    <col min="3" max="4" width="10.140625" customWidth="1"/>
    <col min="6" max="6" width="14.7109375" customWidth="1"/>
    <col min="7" max="8" width="10.140625" customWidth="1"/>
    <col min="12" max="12" width="14.7109375" customWidth="1"/>
    <col min="13" max="14" width="10.140625" customWidth="1"/>
    <col min="16" max="16" width="14.7109375" customWidth="1"/>
    <col min="17" max="18" width="10.140625" customWidth="1"/>
  </cols>
  <sheetData>
    <row r="2" spans="2:18" x14ac:dyDescent="0.25">
      <c r="B2" s="15" t="s">
        <v>26</v>
      </c>
      <c r="C2" s="15"/>
      <c r="D2" s="15"/>
      <c r="E2" s="4"/>
      <c r="F2" s="16" t="s">
        <v>27</v>
      </c>
      <c r="G2" s="16"/>
      <c r="H2" s="16"/>
      <c r="L2" s="15" t="s">
        <v>26</v>
      </c>
      <c r="M2" s="15"/>
      <c r="N2" s="15"/>
      <c r="O2" s="4"/>
      <c r="P2" s="16" t="s">
        <v>27</v>
      </c>
      <c r="Q2" s="16"/>
      <c r="R2" s="16"/>
    </row>
    <row r="3" spans="2:18" x14ac:dyDescent="0.25">
      <c r="B3" s="5" t="s">
        <v>28</v>
      </c>
      <c r="C3" s="5" t="s">
        <v>29</v>
      </c>
      <c r="D3" s="5" t="s">
        <v>30</v>
      </c>
      <c r="E3" s="4"/>
      <c r="F3" s="5" t="s">
        <v>28</v>
      </c>
      <c r="G3" s="6" t="s">
        <v>29</v>
      </c>
      <c r="H3" s="6" t="s">
        <v>30</v>
      </c>
      <c r="L3" s="5" t="s">
        <v>28</v>
      </c>
      <c r="M3" s="5" t="s">
        <v>29</v>
      </c>
      <c r="N3" s="5" t="s">
        <v>30</v>
      </c>
      <c r="O3" s="4"/>
      <c r="P3" s="5" t="s">
        <v>28</v>
      </c>
      <c r="Q3" s="6" t="s">
        <v>29</v>
      </c>
      <c r="R3" s="6" t="s">
        <v>30</v>
      </c>
    </row>
    <row r="4" spans="2:18" x14ac:dyDescent="0.25">
      <c r="B4" s="7">
        <v>0</v>
      </c>
      <c r="C4" s="8">
        <f>Settings!$G$14*COS(RADIANS(B4))/2+Settings!$G$14/2*COS(RADIANS(-90))</f>
        <v>57.35</v>
      </c>
      <c r="D4" s="8">
        <f>Settings!G$14*SIN(RADIANS(B4))/2+Settings!G$14/2*SIN(RADIANS(-90))+Settings!G$15</f>
        <v>-69.95</v>
      </c>
      <c r="E4" s="4"/>
      <c r="F4" s="7">
        <v>0</v>
      </c>
      <c r="G4" s="8">
        <f>Settings!$G$18*COS(RADIANS(F4))/2+Settings!$G$18/2*COS(RADIANS(-90))</f>
        <v>74.55</v>
      </c>
      <c r="H4" s="8">
        <f>Settings!$G$18*SIN(RADIANS(F4))/2+Settings!G$18/2*SIN(RADIANS(-90))+Settings!G$19</f>
        <v>-87.149999999999991</v>
      </c>
      <c r="L4" s="7">
        <v>0</v>
      </c>
      <c r="M4" s="8">
        <f>Settings!$G$61*COS(RADIANS(L4))/2+Settings!$G$61/2*COS(RADIANS(-90))</f>
        <v>8.7629618811158174</v>
      </c>
      <c r="N4" s="8">
        <f>Settings!$G$61*SIN(RADIANS(L4))/2+Settings!$G$61/2*SIN(RADIANS(-90))+Settings!G$62</f>
        <v>-10.566116547393019</v>
      </c>
      <c r="O4" s="4"/>
      <c r="P4" s="7">
        <v>0</v>
      </c>
      <c r="Q4" s="8">
        <f>Settings!$G$65*COS(RADIANS(P4))/2+Settings!$G$65/2*COS(RADIANS(-90))</f>
        <v>10.417409084270485</v>
      </c>
      <c r="R4" s="8">
        <f>Settings!$G$65*SIN(RADIANS(P4))/2+Settings!$G$65/2*SIN(RADIANS(-90))+Settings!G$66</f>
        <v>-12.220563750547687</v>
      </c>
    </row>
    <row r="5" spans="2:18" x14ac:dyDescent="0.25">
      <c r="B5" s="7">
        <f>B4+10</f>
        <v>10</v>
      </c>
      <c r="C5" s="8">
        <f>Settings!G$14*COS(RADIANS(B5))/2+Settings!G$14/2*COS(RADIANS(-90))</f>
        <v>56.478724635250131</v>
      </c>
      <c r="D5" s="8">
        <f>Settings!G$14*SIN(RADIANS(B5))/2+Settings!G$14/2*SIN(RADIANS(-90))+Settings!G$15</f>
        <v>-59.991277010801547</v>
      </c>
      <c r="E5" s="4"/>
      <c r="F5" s="7">
        <f>F4+10</f>
        <v>10</v>
      </c>
      <c r="G5" s="8">
        <f>Settings!$G$18*COS(RADIANS(F5))/2+Settings!$G$18/2*COS(RADIANS(-90))</f>
        <v>73.417417987060105</v>
      </c>
      <c r="H5" s="8">
        <f>Settings!$G$18*SIN(RADIANS(F5))/2+Settings!G$18/2*SIN(RADIANS(-90))+Settings!G$19</f>
        <v>-74.204528354930332</v>
      </c>
      <c r="L5" s="7">
        <f>L4+10</f>
        <v>10</v>
      </c>
      <c r="M5" s="8">
        <f>Settings!$G$61*COS(RADIANS(L5))/2+Settings!$G$61/2*COS(RADIANS(-90))</f>
        <v>8.6298327998733004</v>
      </c>
      <c r="N5" s="8">
        <f>Settings!$G$61*SIN(RADIANS(L5))/2+Settings!$G$61/2*SIN(RADIANS(-90))+Settings!G$62</f>
        <v>-9.0444441857724822</v>
      </c>
      <c r="O5" s="4"/>
      <c r="P5" s="7">
        <f>P4+10</f>
        <v>10</v>
      </c>
      <c r="Q5" s="8">
        <f>Settings!$G$65*COS(RADIANS(P5))/2+Settings!$G$65/2*COS(RADIANS(-90))</f>
        <v>10.259145232489379</v>
      </c>
      <c r="R5" s="8">
        <f>Settings!$G$65*SIN(RADIANS(P5))/2+Settings!$G$65/2*SIN(RADIANS(-90))+Settings!G$66</f>
        <v>-10.41159964705319</v>
      </c>
    </row>
    <row r="6" spans="2:18" x14ac:dyDescent="0.25">
      <c r="B6" s="7">
        <f t="shared" ref="B6:B40" si="0">B5+10</f>
        <v>20</v>
      </c>
      <c r="C6" s="8">
        <f>Settings!G$14*COS(RADIANS(B6))/2+Settings!G$14/2*COS(RADIANS(-90))</f>
        <v>53.891371802071852</v>
      </c>
      <c r="D6" s="8">
        <f>Settings!G$14*SIN(RADIANS(B6))/2+Settings!G$14/2*SIN(RADIANS(-90))+Settings!G$15</f>
        <v>-50.335144780272906</v>
      </c>
      <c r="E6" s="4"/>
      <c r="F6" s="7">
        <f t="shared" ref="F6:F40" si="1">F5+10</f>
        <v>20</v>
      </c>
      <c r="G6" s="8">
        <f>Settings!$G$18*COS(RADIANS(F6))/2+Settings!$G$18/2*COS(RADIANS(-90))</f>
        <v>70.054084879589468</v>
      </c>
      <c r="H6" s="8">
        <f>Settings!$G$18*SIN(RADIANS(F6))/2+Settings!G$18/2*SIN(RADIANS(-90))+Settings!G$19</f>
        <v>-61.652398315071402</v>
      </c>
      <c r="L6" s="7">
        <f t="shared" ref="L6:L40" si="2">L5+10</f>
        <v>20</v>
      </c>
      <c r="M6" s="8">
        <f>Settings!$G$61*COS(RADIANS(L6))/2+Settings!$G$61/2*COS(RADIANS(-90))</f>
        <v>8.2344906159127369</v>
      </c>
      <c r="N6" s="8">
        <f>Settings!$G$61*SIN(RADIANS(L6))/2+Settings!$G$61/2*SIN(RADIANS(-90))+Settings!G$62</f>
        <v>-7.5690070688564157</v>
      </c>
      <c r="O6" s="4"/>
      <c r="P6" s="7">
        <f t="shared" ref="P6:P40" si="3">P5+10</f>
        <v>20</v>
      </c>
      <c r="Q6" s="8">
        <f>Settings!$G$65*COS(RADIANS(P6))/2+Settings!$G$65/2*COS(RADIANS(-90))</f>
        <v>9.7891624441970624</v>
      </c>
      <c r="R6" s="8">
        <f>Settings!$G$65*SIN(RADIANS(P6))/2+Settings!$G$65/2*SIN(RADIANS(-90))+Settings!G$66</f>
        <v>-8.6576000024633721</v>
      </c>
    </row>
    <row r="7" spans="2:18" x14ac:dyDescent="0.25">
      <c r="B7" s="7">
        <f t="shared" si="0"/>
        <v>30</v>
      </c>
      <c r="C7" s="8">
        <f>Settings!G$14*COS(RADIANS(B7))/2+Settings!G$14/2*COS(RADIANS(-90))</f>
        <v>49.66655690703756</v>
      </c>
      <c r="D7" s="8">
        <f>Settings!G$14*SIN(RADIANS(B7))/2+Settings!G$14/2*SIN(RADIANS(-90))+Settings!G$15</f>
        <v>-41.275000000000006</v>
      </c>
      <c r="E7" s="4"/>
      <c r="F7" s="7">
        <f t="shared" si="1"/>
        <v>30</v>
      </c>
      <c r="G7" s="8">
        <f>Settings!$G$18*COS(RADIANS(F7))/2+Settings!$G$18/2*COS(RADIANS(-90))</f>
        <v>64.562193852129909</v>
      </c>
      <c r="H7" s="8">
        <f>Settings!$G$18*SIN(RADIANS(F7))/2+Settings!G$18/2*SIN(RADIANS(-90))+Settings!G$19</f>
        <v>-49.875000000000007</v>
      </c>
      <c r="L7" s="7">
        <f t="shared" si="2"/>
        <v>30</v>
      </c>
      <c r="M7" s="8">
        <f>Settings!$G$61*COS(RADIANS(L7))/2+Settings!$G$61/2*COS(RADIANS(-90))</f>
        <v>7.5889476014409709</v>
      </c>
      <c r="N7" s="8">
        <f>Settings!$G$61*SIN(RADIANS(L7))/2+Settings!$G$61/2*SIN(RADIANS(-90))+Settings!G$62</f>
        <v>-6.1846356068351112</v>
      </c>
      <c r="O7" s="4"/>
      <c r="P7" s="7">
        <f t="shared" si="3"/>
        <v>30</v>
      </c>
      <c r="Q7" s="8">
        <f>Settings!$G$65*COS(RADIANS(P7))/2+Settings!$G$65/2*COS(RADIANS(-90))</f>
        <v>9.021740908593026</v>
      </c>
      <c r="R7" s="8">
        <f>Settings!$G$65*SIN(RADIANS(P7))/2+Settings!$G$65/2*SIN(RADIANS(-90))+Settings!G$66</f>
        <v>-7.0118592084124449</v>
      </c>
    </row>
    <row r="8" spans="2:18" x14ac:dyDescent="0.25">
      <c r="B8" s="7">
        <f t="shared" si="0"/>
        <v>40</v>
      </c>
      <c r="C8" s="8">
        <f>Settings!G$14*COS(RADIANS(B8))/2+Settings!G$14/2*COS(RADIANS(-90))</f>
        <v>43.932648812873389</v>
      </c>
      <c r="D8" s="8">
        <f>Settings!G$14*SIN(RADIANS(B8))/2+Settings!G$14/2*SIN(RADIANS(-90))+Settings!G$15</f>
        <v>-33.086130584476976</v>
      </c>
      <c r="E8" s="4"/>
      <c r="F8" s="7">
        <f t="shared" si="1"/>
        <v>40</v>
      </c>
      <c r="G8" s="8">
        <f>Settings!$G$18*COS(RADIANS(F8))/2+Settings!$G$18/2*COS(RADIANS(-90))</f>
        <v>57.108613234519815</v>
      </c>
      <c r="H8" s="8">
        <f>Settings!$G$18*SIN(RADIANS(F8))/2+Settings!G$18/2*SIN(RADIANS(-90))+Settings!G$19</f>
        <v>-39.230183697868497</v>
      </c>
      <c r="L8" s="7">
        <f t="shared" si="2"/>
        <v>40</v>
      </c>
      <c r="M8" s="8">
        <f>Settings!$G$61*COS(RADIANS(L8))/2+Settings!$G$61/2*COS(RADIANS(-90))</f>
        <v>6.7128182542921992</v>
      </c>
      <c r="N8" s="8">
        <f>Settings!$G$61*SIN(RADIANS(L8))/2+Settings!$G$61/2*SIN(RADIANS(-90))+Settings!G$62</f>
        <v>-4.9333932260563236</v>
      </c>
      <c r="O8" s="4"/>
      <c r="P8" s="7">
        <f t="shared" si="3"/>
        <v>40</v>
      </c>
      <c r="Q8" s="8">
        <f>Settings!$G$65*COS(RADIANS(P8))/2+Settings!$G$65/2*COS(RADIANS(-90))</f>
        <v>7.9801983407025672</v>
      </c>
      <c r="R8" s="8">
        <f>Settings!$G$65*SIN(RADIANS(P8))/2+Settings!$G$65/2*SIN(RADIANS(-90))+Settings!G$66</f>
        <v>-5.5243822661426218</v>
      </c>
    </row>
    <row r="9" spans="2:18" x14ac:dyDescent="0.25">
      <c r="B9" s="7">
        <f t="shared" si="0"/>
        <v>50</v>
      </c>
      <c r="C9" s="8">
        <f>Settings!G$14*COS(RADIANS(B9))/2+Settings!G$14/2*COS(RADIANS(-90))</f>
        <v>36.863869415523034</v>
      </c>
      <c r="D9" s="8">
        <f>Settings!G$14*SIN(RADIANS(B9))/2+Settings!G$14/2*SIN(RADIANS(-90))+Settings!G$15</f>
        <v>-26.017351187126614</v>
      </c>
      <c r="E9" s="4"/>
      <c r="F9" s="7">
        <f t="shared" si="1"/>
        <v>50</v>
      </c>
      <c r="G9" s="8">
        <f>Settings!$G$18*COS(RADIANS(F9))/2+Settings!$G$18/2*COS(RADIANS(-90))</f>
        <v>47.919816302131515</v>
      </c>
      <c r="H9" s="8">
        <f>Settings!$G$18*SIN(RADIANS(F9))/2+Settings!G$18/2*SIN(RADIANS(-90))+Settings!G$19</f>
        <v>-30.04138676548019</v>
      </c>
      <c r="L9" s="7">
        <f t="shared" si="2"/>
        <v>50</v>
      </c>
      <c r="M9" s="8">
        <f>Settings!$G$61*COS(RADIANS(L9))/2+Settings!$G$61/2*COS(RADIANS(-90))</f>
        <v>5.6327233213366981</v>
      </c>
      <c r="N9" s="8">
        <f>Settings!$G$61*SIN(RADIANS(L9))/2+Settings!$G$61/2*SIN(RADIANS(-90))+Settings!G$62</f>
        <v>-3.8532982931008206</v>
      </c>
      <c r="O9" s="4"/>
      <c r="P9" s="7">
        <f t="shared" si="3"/>
        <v>50</v>
      </c>
      <c r="Q9" s="8">
        <f>Settings!$G$65*COS(RADIANS(P9))/2+Settings!$G$65/2*COS(RADIANS(-90))</f>
        <v>6.6961814844050664</v>
      </c>
      <c r="R9" s="8">
        <f>Settings!$G$65*SIN(RADIANS(P9))/2+Settings!$G$65/2*SIN(RADIANS(-90))+Settings!G$66</f>
        <v>-4.2403654098451202</v>
      </c>
    </row>
    <row r="10" spans="2:18" x14ac:dyDescent="0.25">
      <c r="B10" s="7">
        <f t="shared" si="0"/>
        <v>60</v>
      </c>
      <c r="C10" s="8">
        <f>Settings!G$14*COS(RADIANS(B10))/2+Settings!G$14/2*COS(RADIANS(-90))</f>
        <v>28.675000000000011</v>
      </c>
      <c r="D10" s="8">
        <f>Settings!G$14*SIN(RADIANS(B10))/2+Settings!G$14/2*SIN(RADIANS(-90))+Settings!G$15</f>
        <v>-20.28344309296245</v>
      </c>
      <c r="E10" s="4"/>
      <c r="F10" s="7">
        <f t="shared" si="1"/>
        <v>60</v>
      </c>
      <c r="G10" s="8">
        <f>Settings!$G$18*COS(RADIANS(F10))/2+Settings!$G$18/2*COS(RADIANS(-90))</f>
        <v>37.275000000000013</v>
      </c>
      <c r="H10" s="8">
        <f>Settings!$G$18*SIN(RADIANS(F10))/2+Settings!G$18/2*SIN(RADIANS(-90))+Settings!G$19</f>
        <v>-22.587806147870104</v>
      </c>
      <c r="L10" s="7">
        <f t="shared" si="2"/>
        <v>60</v>
      </c>
      <c r="M10" s="8">
        <f>Settings!$G$61*COS(RADIANS(L10))/2+Settings!$G$61/2*COS(RADIANS(-90))</f>
        <v>4.3814809405579105</v>
      </c>
      <c r="N10" s="8">
        <f>Settings!$G$61*SIN(RADIANS(L10))/2+Settings!$G$61/2*SIN(RADIANS(-90))+Settings!G$62</f>
        <v>-2.9771689459520498</v>
      </c>
      <c r="O10" s="4"/>
      <c r="P10" s="7">
        <f t="shared" si="3"/>
        <v>60</v>
      </c>
      <c r="Q10" s="8">
        <f>Settings!$G$65*COS(RADIANS(P10))/2+Settings!$G$65/2*COS(RADIANS(-90))</f>
        <v>5.2087045421352443</v>
      </c>
      <c r="R10" s="8">
        <f>Settings!$G$65*SIN(RADIANS(P10))/2+Settings!$G$65/2*SIN(RADIANS(-90))+Settings!G$66</f>
        <v>-3.1988228419546605</v>
      </c>
    </row>
    <row r="11" spans="2:18" x14ac:dyDescent="0.25">
      <c r="B11" s="7">
        <f t="shared" si="0"/>
        <v>70</v>
      </c>
      <c r="C11" s="8">
        <f>Settings!G$14*COS(RADIANS(B11))/2+Settings!G$14/2*COS(RADIANS(-90))</f>
        <v>19.614855219727112</v>
      </c>
      <c r="D11" s="8">
        <f>Settings!G$14*SIN(RADIANS(B11))/2+Settings!G$14/2*SIN(RADIANS(-90))+Settings!G$15</f>
        <v>-16.058628197928158</v>
      </c>
      <c r="E11" s="4"/>
      <c r="F11" s="7">
        <f t="shared" si="1"/>
        <v>70</v>
      </c>
      <c r="G11" s="8">
        <f>Settings!$G$18*COS(RADIANS(F11))/2+Settings!$G$18/2*COS(RADIANS(-90))</f>
        <v>25.497601684928615</v>
      </c>
      <c r="H11" s="8">
        <f>Settings!$G$18*SIN(RADIANS(F11))/2+Settings!G$18/2*SIN(RADIANS(-90))+Settings!G$19</f>
        <v>-17.095915120410531</v>
      </c>
      <c r="L11" s="7">
        <f t="shared" si="2"/>
        <v>70</v>
      </c>
      <c r="M11" s="8">
        <f>Settings!$G$61*COS(RADIANS(L11))/2+Settings!$G$61/2*COS(RADIANS(-90))</f>
        <v>2.9971094785366046</v>
      </c>
      <c r="N11" s="8">
        <f>Settings!$G$61*SIN(RADIANS(L11))/2+Settings!$G$61/2*SIN(RADIANS(-90))+Settings!G$62</f>
        <v>-2.3316259314802839</v>
      </c>
      <c r="O11" s="4"/>
      <c r="P11" s="7">
        <f t="shared" si="3"/>
        <v>70</v>
      </c>
      <c r="Q11" s="8">
        <f>Settings!$G$65*COS(RADIANS(P11))/2+Settings!$G$65/2*COS(RADIANS(-90))</f>
        <v>3.5629637480843162</v>
      </c>
      <c r="R11" s="8">
        <f>Settings!$G$65*SIN(RADIANS(P11))/2+Settings!$G$65/2*SIN(RADIANS(-90))+Settings!G$66</f>
        <v>-2.4314013063506259</v>
      </c>
    </row>
    <row r="12" spans="2:18" x14ac:dyDescent="0.25">
      <c r="B12" s="7">
        <f t="shared" si="0"/>
        <v>80</v>
      </c>
      <c r="C12" s="8">
        <f>Settings!G$14*COS(RADIANS(B12))/2+Settings!G$14/2*COS(RADIANS(-90))</f>
        <v>9.9587229891984634</v>
      </c>
      <c r="D12" s="8">
        <f>Settings!G$14*SIN(RADIANS(B12))/2+Settings!G$14/2*SIN(RADIANS(-90))+Settings!G$15</f>
        <v>-13.47127536474987</v>
      </c>
      <c r="E12" s="4"/>
      <c r="F12" s="7">
        <f t="shared" si="1"/>
        <v>80</v>
      </c>
      <c r="G12" s="8">
        <f>Settings!$G$18*COS(RADIANS(F12))/2+Settings!$G$18/2*COS(RADIANS(-90))</f>
        <v>12.945471645069667</v>
      </c>
      <c r="H12" s="8">
        <f>Settings!$G$18*SIN(RADIANS(F12))/2+Settings!G$18/2*SIN(RADIANS(-90))+Settings!G$19</f>
        <v>-13.732582012939892</v>
      </c>
      <c r="L12" s="7">
        <f t="shared" si="2"/>
        <v>80</v>
      </c>
      <c r="M12" s="8">
        <f>Settings!$G$61*COS(RADIANS(L12))/2+Settings!$G$61/2*COS(RADIANS(-90))</f>
        <v>1.5216723616205388</v>
      </c>
      <c r="N12" s="8">
        <f>Settings!$G$61*SIN(RADIANS(L12))/2+Settings!$G$61/2*SIN(RADIANS(-90))+Settings!G$62</f>
        <v>-1.9362837475197188</v>
      </c>
      <c r="O12" s="4"/>
      <c r="P12" s="7">
        <f t="shared" si="3"/>
        <v>80</v>
      </c>
      <c r="Q12" s="8">
        <f>Settings!$G$65*COS(RADIANS(P12))/2+Settings!$G$65/2*COS(RADIANS(-90))</f>
        <v>1.8089641034944968</v>
      </c>
      <c r="R12" s="8">
        <f>Settings!$G$65*SIN(RADIANS(P12))/2+Settings!$G$65/2*SIN(RADIANS(-90))+Settings!G$66</f>
        <v>-1.9614185180583077</v>
      </c>
    </row>
    <row r="13" spans="2:18" x14ac:dyDescent="0.25">
      <c r="B13" s="7">
        <f t="shared" si="0"/>
        <v>90</v>
      </c>
      <c r="C13" s="8">
        <f>Settings!G$14*COS(RADIANS(B13))/2+Settings!G$14/2*COS(RADIANS(-90))</f>
        <v>7.0262263889009358E-15</v>
      </c>
      <c r="D13" s="8">
        <f>Settings!G$14*SIN(RADIANS(B13))/2+Settings!G$14/2*SIN(RADIANS(-90))+Settings!G$15</f>
        <v>-12.6</v>
      </c>
      <c r="E13" s="4"/>
      <c r="F13" s="7">
        <f t="shared" si="1"/>
        <v>90</v>
      </c>
      <c r="G13" s="8">
        <f>Settings!$G$18*COS(RADIANS(F13))/2+Settings!$G$18/2*COS(RADIANS(-90))</f>
        <v>9.1334817313437622E-15</v>
      </c>
      <c r="H13" s="8">
        <f>Settings!$G$18*SIN(RADIANS(F13))/2+Settings!G$18/2*SIN(RADIANS(-90))+Settings!G$19</f>
        <v>-12.6</v>
      </c>
      <c r="L13" s="7">
        <f t="shared" si="2"/>
        <v>90</v>
      </c>
      <c r="M13" s="8">
        <f>Settings!$G$61*COS(RADIANS(L13))/2+Settings!$G$61/2*COS(RADIANS(-90))</f>
        <v>1.0735929209072179E-15</v>
      </c>
      <c r="N13" s="8">
        <f>Settings!$G$61*SIN(RADIANS(L13))/2+Settings!$G$61/2*SIN(RADIANS(-90))+Settings!G$62</f>
        <v>-1.8031546662772018</v>
      </c>
      <c r="O13" s="4"/>
      <c r="P13" s="7">
        <f t="shared" si="3"/>
        <v>90</v>
      </c>
      <c r="Q13" s="8">
        <f>Settings!$G$65*COS(RADIANS(P13))/2+Settings!$G$65/2*COS(RADIANS(-90))</f>
        <v>1.2762872643745007E-15</v>
      </c>
      <c r="R13" s="8">
        <f>Settings!$G$65*SIN(RADIANS(P13))/2+Settings!$G$65/2*SIN(RADIANS(-90))+Settings!G$66</f>
        <v>-1.8031546662772018</v>
      </c>
    </row>
    <row r="14" spans="2:18" x14ac:dyDescent="0.25">
      <c r="B14" s="7">
        <f t="shared" si="0"/>
        <v>100</v>
      </c>
      <c r="C14" s="8">
        <f>Settings!G$14*COS(RADIANS(B14))/2+Settings!G$14/2*COS(RADIANS(-90))</f>
        <v>-9.9587229891984492</v>
      </c>
      <c r="D14" s="8">
        <f>Settings!G$14*SIN(RADIANS(B14))/2+Settings!G$14/2*SIN(RADIANS(-90))+Settings!G$15</f>
        <v>-13.47127536474987</v>
      </c>
      <c r="E14" s="4"/>
      <c r="F14" s="7">
        <f t="shared" si="1"/>
        <v>100</v>
      </c>
      <c r="G14" s="8">
        <f>Settings!$G$18*COS(RADIANS(F14))/2+Settings!$G$18/2*COS(RADIANS(-90))</f>
        <v>-12.945471645069649</v>
      </c>
      <c r="H14" s="8">
        <f>Settings!$G$18*SIN(RADIANS(F14))/2+Settings!G$18/2*SIN(RADIANS(-90))+Settings!G$19</f>
        <v>-13.732582012939892</v>
      </c>
      <c r="L14" s="7">
        <f t="shared" si="2"/>
        <v>100</v>
      </c>
      <c r="M14" s="8">
        <f>Settings!$G$61*COS(RADIANS(L14))/2+Settings!$G$61/2*COS(RADIANS(-90))</f>
        <v>-1.5216723616205368</v>
      </c>
      <c r="N14" s="8">
        <f>Settings!$G$61*SIN(RADIANS(L14))/2+Settings!$G$61/2*SIN(RADIANS(-90))+Settings!G$62</f>
        <v>-1.9362837475197188</v>
      </c>
      <c r="O14" s="4"/>
      <c r="P14" s="7">
        <f t="shared" si="3"/>
        <v>100</v>
      </c>
      <c r="Q14" s="8">
        <f>Settings!$G$65*COS(RADIANS(P14))/2+Settings!$G$65/2*COS(RADIANS(-90))</f>
        <v>-1.8089641034944943</v>
      </c>
      <c r="R14" s="8">
        <f>Settings!$G$65*SIN(RADIANS(P14))/2+Settings!$G$65/2*SIN(RADIANS(-90))+Settings!G$66</f>
        <v>-1.9614185180583077</v>
      </c>
    </row>
    <row r="15" spans="2:18" x14ac:dyDescent="0.25">
      <c r="B15" s="7">
        <f t="shared" si="0"/>
        <v>110</v>
      </c>
      <c r="C15" s="8">
        <f>Settings!G$14*COS(RADIANS(B15))/2+Settings!G$14/2*COS(RADIANS(-90))</f>
        <v>-19.614855219727097</v>
      </c>
      <c r="D15" s="8">
        <f>Settings!G$14*SIN(RADIANS(B15))/2+Settings!G$14/2*SIN(RADIANS(-90))+Settings!G$15</f>
        <v>-16.058628197928151</v>
      </c>
      <c r="E15" s="4"/>
      <c r="F15" s="7">
        <f t="shared" si="1"/>
        <v>110</v>
      </c>
      <c r="G15" s="8">
        <f>Settings!$G$18*COS(RADIANS(F15))/2+Settings!$G$18/2*COS(RADIANS(-90))</f>
        <v>-25.497601684928597</v>
      </c>
      <c r="H15" s="8">
        <f>Settings!$G$18*SIN(RADIANS(F15))/2+Settings!G$18/2*SIN(RADIANS(-90))+Settings!G$19</f>
        <v>-17.095915120410531</v>
      </c>
      <c r="L15" s="7">
        <f t="shared" si="2"/>
        <v>110</v>
      </c>
      <c r="M15" s="8">
        <f>Settings!$G$61*COS(RADIANS(L15))/2+Settings!$G$61/2*COS(RADIANS(-90))</f>
        <v>-2.9971094785366028</v>
      </c>
      <c r="N15" s="8">
        <f>Settings!$G$61*SIN(RADIANS(L15))/2+Settings!$G$61/2*SIN(RADIANS(-90))+Settings!G$62</f>
        <v>-2.3316259314802821</v>
      </c>
      <c r="O15" s="4"/>
      <c r="P15" s="7">
        <f t="shared" si="3"/>
        <v>110</v>
      </c>
      <c r="Q15" s="8">
        <f>Settings!$G$65*COS(RADIANS(P15))/2+Settings!$G$65/2*COS(RADIANS(-90))</f>
        <v>-3.5629637480843139</v>
      </c>
      <c r="R15" s="8">
        <f>Settings!$G$65*SIN(RADIANS(P15))/2+Settings!$G$65/2*SIN(RADIANS(-90))+Settings!G$66</f>
        <v>-2.4314013063506241</v>
      </c>
    </row>
    <row r="16" spans="2:18" x14ac:dyDescent="0.25">
      <c r="B16" s="7">
        <f t="shared" si="0"/>
        <v>120</v>
      </c>
      <c r="C16" s="8">
        <f>Settings!G$14*COS(RADIANS(B16))/2+Settings!G$14/2*COS(RADIANS(-90))</f>
        <v>-28.674999999999983</v>
      </c>
      <c r="D16" s="8">
        <f>Settings!G$14*SIN(RADIANS(B16))/2+Settings!G$14/2*SIN(RADIANS(-90))+Settings!G$15</f>
        <v>-20.283443092962443</v>
      </c>
      <c r="E16" s="4"/>
      <c r="F16" s="7">
        <f t="shared" si="1"/>
        <v>120</v>
      </c>
      <c r="G16" s="8">
        <f>Settings!$G$18*COS(RADIANS(F16))/2+Settings!$G$18/2*COS(RADIANS(-90))</f>
        <v>-37.274999999999977</v>
      </c>
      <c r="H16" s="8">
        <f>Settings!$G$18*SIN(RADIANS(F16))/2+Settings!G$18/2*SIN(RADIANS(-90))+Settings!G$19</f>
        <v>-22.58780614787009</v>
      </c>
      <c r="L16" s="7">
        <f t="shared" si="2"/>
        <v>120</v>
      </c>
      <c r="M16" s="8">
        <f>Settings!$G$61*COS(RADIANS(L16))/2+Settings!$G$61/2*COS(RADIANS(-90))</f>
        <v>-4.381480940557906</v>
      </c>
      <c r="N16" s="8">
        <f>Settings!$G$61*SIN(RADIANS(L16))/2+Settings!$G$61/2*SIN(RADIANS(-90))+Settings!G$62</f>
        <v>-2.977168945952049</v>
      </c>
      <c r="O16" s="4"/>
      <c r="P16" s="7">
        <f t="shared" si="3"/>
        <v>120</v>
      </c>
      <c r="Q16" s="8">
        <f>Settings!$G$65*COS(RADIANS(P16))/2+Settings!$G$65/2*COS(RADIANS(-90))</f>
        <v>-5.2087045421352389</v>
      </c>
      <c r="R16" s="8">
        <f>Settings!$G$65*SIN(RADIANS(P16))/2+Settings!$G$65/2*SIN(RADIANS(-90))+Settings!G$66</f>
        <v>-3.1988228419546605</v>
      </c>
    </row>
    <row r="17" spans="2:18" x14ac:dyDescent="0.25">
      <c r="B17" s="7">
        <f t="shared" si="0"/>
        <v>130</v>
      </c>
      <c r="C17" s="8">
        <f>Settings!G$14*COS(RADIANS(B17))/2+Settings!G$14/2*COS(RADIANS(-90))</f>
        <v>-36.863869415523034</v>
      </c>
      <c r="D17" s="8">
        <f>Settings!G$14*SIN(RADIANS(B17))/2+Settings!G$14/2*SIN(RADIANS(-90))+Settings!G$15</f>
        <v>-26.017351187126614</v>
      </c>
      <c r="E17" s="4"/>
      <c r="F17" s="7">
        <f t="shared" si="1"/>
        <v>130</v>
      </c>
      <c r="G17" s="8">
        <f>Settings!$G$18*COS(RADIANS(F17))/2+Settings!$G$18/2*COS(RADIANS(-90))</f>
        <v>-47.919816302131501</v>
      </c>
      <c r="H17" s="8">
        <f>Settings!$G$18*SIN(RADIANS(F17))/2+Settings!G$18/2*SIN(RADIANS(-90))+Settings!G$19</f>
        <v>-30.04138676548019</v>
      </c>
      <c r="L17" s="7">
        <f t="shared" si="2"/>
        <v>130</v>
      </c>
      <c r="M17" s="8">
        <f>Settings!$G$61*COS(RADIANS(L17))/2+Settings!$G$61/2*COS(RADIANS(-90))</f>
        <v>-5.6327233213366963</v>
      </c>
      <c r="N17" s="8">
        <f>Settings!$G$61*SIN(RADIANS(L17))/2+Settings!$G$61/2*SIN(RADIANS(-90))+Settings!G$62</f>
        <v>-3.8532982931008206</v>
      </c>
      <c r="O17" s="4"/>
      <c r="P17" s="7">
        <f t="shared" si="3"/>
        <v>130</v>
      </c>
      <c r="Q17" s="8">
        <f>Settings!$G$65*COS(RADIANS(P17))/2+Settings!$G$65/2*COS(RADIANS(-90))</f>
        <v>-6.6961814844050647</v>
      </c>
      <c r="R17" s="8">
        <f>Settings!$G$65*SIN(RADIANS(P17))/2+Settings!$G$65/2*SIN(RADIANS(-90))+Settings!G$66</f>
        <v>-4.2403654098451202</v>
      </c>
    </row>
    <row r="18" spans="2:18" x14ac:dyDescent="0.25">
      <c r="B18" s="7">
        <f t="shared" si="0"/>
        <v>140</v>
      </c>
      <c r="C18" s="8">
        <f>Settings!G$14*COS(RADIANS(B18))/2+Settings!G$14/2*COS(RADIANS(-90))</f>
        <v>-43.932648812873381</v>
      </c>
      <c r="D18" s="8">
        <f>Settings!G$14*SIN(RADIANS(B18))/2+Settings!G$14/2*SIN(RADIANS(-90))+Settings!G$15</f>
        <v>-33.086130584476962</v>
      </c>
      <c r="E18" s="4"/>
      <c r="F18" s="7">
        <f t="shared" si="1"/>
        <v>140</v>
      </c>
      <c r="G18" s="8">
        <f>Settings!$G$18*COS(RADIANS(F18))/2+Settings!$G$18/2*COS(RADIANS(-90))</f>
        <v>-57.108613234519794</v>
      </c>
      <c r="H18" s="8">
        <f>Settings!$G$18*SIN(RADIANS(F18))/2+Settings!G$18/2*SIN(RADIANS(-90))+Settings!G$19</f>
        <v>-39.230183697868483</v>
      </c>
      <c r="L18" s="7">
        <f t="shared" si="2"/>
        <v>140</v>
      </c>
      <c r="M18" s="8">
        <f>Settings!$G$61*COS(RADIANS(L18))/2+Settings!$G$61/2*COS(RADIANS(-90))</f>
        <v>-6.7128182542921966</v>
      </c>
      <c r="N18" s="8">
        <f>Settings!$G$61*SIN(RADIANS(L18))/2+Settings!$G$61/2*SIN(RADIANS(-90))+Settings!G$62</f>
        <v>-4.9333932260563209</v>
      </c>
      <c r="O18" s="4"/>
      <c r="P18" s="7">
        <f t="shared" si="3"/>
        <v>140</v>
      </c>
      <c r="Q18" s="8">
        <f>Settings!$G$65*COS(RADIANS(P18))/2+Settings!$G$65/2*COS(RADIANS(-90))</f>
        <v>-7.9801983407025645</v>
      </c>
      <c r="R18" s="8">
        <f>Settings!$G$65*SIN(RADIANS(P18))/2+Settings!$G$65/2*SIN(RADIANS(-90))+Settings!G$66</f>
        <v>-5.5243822661426192</v>
      </c>
    </row>
    <row r="19" spans="2:18" x14ac:dyDescent="0.25">
      <c r="B19" s="7">
        <f t="shared" si="0"/>
        <v>150</v>
      </c>
      <c r="C19" s="8">
        <f>Settings!G$14*COS(RADIANS(B19))/2+Settings!G$14/2*COS(RADIANS(-90))</f>
        <v>-49.66655690703756</v>
      </c>
      <c r="D19" s="8">
        <f>Settings!G$14*SIN(RADIANS(B19))/2+Settings!G$14/2*SIN(RADIANS(-90))+Settings!G$15</f>
        <v>-41.275000000000006</v>
      </c>
      <c r="E19" s="4"/>
      <c r="F19" s="7">
        <f t="shared" si="1"/>
        <v>150</v>
      </c>
      <c r="G19" s="8">
        <f>Settings!$G$18*COS(RADIANS(F19))/2+Settings!$G$18/2*COS(RADIANS(-90))</f>
        <v>-64.562193852129909</v>
      </c>
      <c r="H19" s="8">
        <f>Settings!$G$18*SIN(RADIANS(F19))/2+Settings!G$18/2*SIN(RADIANS(-90))+Settings!G$19</f>
        <v>-49.875000000000007</v>
      </c>
      <c r="L19" s="7">
        <f t="shared" si="2"/>
        <v>150</v>
      </c>
      <c r="M19" s="8">
        <f>Settings!$G$61*COS(RADIANS(L19))/2+Settings!$G$61/2*COS(RADIANS(-90))</f>
        <v>-7.5889476014409691</v>
      </c>
      <c r="N19" s="8">
        <f>Settings!$G$61*SIN(RADIANS(L19))/2+Settings!$G$61/2*SIN(RADIANS(-90))+Settings!G$62</f>
        <v>-6.1846356068351112</v>
      </c>
      <c r="O19" s="4"/>
      <c r="P19" s="7">
        <f t="shared" si="3"/>
        <v>150</v>
      </c>
      <c r="Q19" s="8">
        <f>Settings!$G$65*COS(RADIANS(P19))/2+Settings!$G$65/2*COS(RADIANS(-90))</f>
        <v>-9.021740908593026</v>
      </c>
      <c r="R19" s="8">
        <f>Settings!$G$65*SIN(RADIANS(P19))/2+Settings!$G$65/2*SIN(RADIANS(-90))+Settings!G$66</f>
        <v>-7.0118592084124449</v>
      </c>
    </row>
    <row r="20" spans="2:18" x14ac:dyDescent="0.25">
      <c r="B20" s="7">
        <f t="shared" si="0"/>
        <v>160</v>
      </c>
      <c r="C20" s="8">
        <f>Settings!G$14*COS(RADIANS(B20))/2+Settings!G$14/2*COS(RADIANS(-90))</f>
        <v>-53.891371802071845</v>
      </c>
      <c r="D20" s="8">
        <f>Settings!G$14*SIN(RADIANS(B20))/2+Settings!G$14/2*SIN(RADIANS(-90))+Settings!G$15</f>
        <v>-50.335144780272891</v>
      </c>
      <c r="E20" s="4"/>
      <c r="F20" s="7">
        <f t="shared" si="1"/>
        <v>160</v>
      </c>
      <c r="G20" s="8">
        <f>Settings!$G$18*COS(RADIANS(F20))/2+Settings!$G$18/2*COS(RADIANS(-90))</f>
        <v>-70.054084879589468</v>
      </c>
      <c r="H20" s="8">
        <f>Settings!$G$18*SIN(RADIANS(F20))/2+Settings!G$18/2*SIN(RADIANS(-90))+Settings!G$19</f>
        <v>-61.652398315071387</v>
      </c>
      <c r="L20" s="7">
        <f t="shared" si="2"/>
        <v>160</v>
      </c>
      <c r="M20" s="8">
        <f>Settings!$G$61*COS(RADIANS(L20))/2+Settings!$G$61/2*COS(RADIANS(-90))</f>
        <v>-8.2344906159127351</v>
      </c>
      <c r="N20" s="8">
        <f>Settings!$G$61*SIN(RADIANS(L20))/2+Settings!$G$61/2*SIN(RADIANS(-90))+Settings!G$62</f>
        <v>-7.5690070688564139</v>
      </c>
      <c r="O20" s="4"/>
      <c r="P20" s="7">
        <f t="shared" si="3"/>
        <v>160</v>
      </c>
      <c r="Q20" s="8">
        <f>Settings!$G$65*COS(RADIANS(P20))/2+Settings!$G$65/2*COS(RADIANS(-90))</f>
        <v>-9.7891624441970606</v>
      </c>
      <c r="R20" s="8">
        <f>Settings!$G$65*SIN(RADIANS(P20))/2+Settings!$G$65/2*SIN(RADIANS(-90))+Settings!G$66</f>
        <v>-8.6576000024633704</v>
      </c>
    </row>
    <row r="21" spans="2:18" x14ac:dyDescent="0.25">
      <c r="B21" s="7">
        <f t="shared" si="0"/>
        <v>170</v>
      </c>
      <c r="C21" s="8">
        <f>Settings!G$14*COS(RADIANS(B21))/2+Settings!G$14/2*COS(RADIANS(-90))</f>
        <v>-56.478724635250131</v>
      </c>
      <c r="D21" s="8">
        <f>Settings!G$14*SIN(RADIANS(B21))/2+Settings!G$14/2*SIN(RADIANS(-90))+Settings!G$15</f>
        <v>-59.991277010801554</v>
      </c>
      <c r="E21" s="4"/>
      <c r="F21" s="7">
        <f t="shared" si="1"/>
        <v>170</v>
      </c>
      <c r="G21" s="8">
        <f>Settings!$G$18*COS(RADIANS(F21))/2+Settings!$G$18/2*COS(RADIANS(-90))</f>
        <v>-73.417417987060105</v>
      </c>
      <c r="H21" s="8">
        <f>Settings!$G$18*SIN(RADIANS(F21))/2+Settings!G$18/2*SIN(RADIANS(-90))+Settings!G$19</f>
        <v>-74.204528354930346</v>
      </c>
      <c r="L21" s="7">
        <f t="shared" si="2"/>
        <v>170</v>
      </c>
      <c r="M21" s="8">
        <f>Settings!$G$61*COS(RADIANS(L21))/2+Settings!$G$61/2*COS(RADIANS(-90))</f>
        <v>-8.6298327998733004</v>
      </c>
      <c r="N21" s="8">
        <f>Settings!$G$61*SIN(RADIANS(L21))/2+Settings!$G$61/2*SIN(RADIANS(-90))+Settings!G$62</f>
        <v>-9.0444441857724822</v>
      </c>
      <c r="O21" s="4"/>
      <c r="P21" s="7">
        <f t="shared" si="3"/>
        <v>170</v>
      </c>
      <c r="Q21" s="8">
        <f>Settings!$G$65*COS(RADIANS(P21))/2+Settings!$G$65/2*COS(RADIANS(-90))</f>
        <v>-10.259145232489379</v>
      </c>
      <c r="R21" s="8">
        <f>Settings!$G$65*SIN(RADIANS(P21))/2+Settings!$G$65/2*SIN(RADIANS(-90))+Settings!G$66</f>
        <v>-10.411599647053192</v>
      </c>
    </row>
    <row r="22" spans="2:18" x14ac:dyDescent="0.25">
      <c r="B22" s="7">
        <f t="shared" si="0"/>
        <v>180</v>
      </c>
      <c r="C22" s="8">
        <f>Settings!G$14*COS(RADIANS(B22))/2+Settings!G$14/2*COS(RADIANS(-90))</f>
        <v>-57.35</v>
      </c>
      <c r="D22" s="8">
        <f>Settings!G$14*SIN(RADIANS(B22))/2+Settings!G$14/2*SIN(RADIANS(-90))+Settings!G$15</f>
        <v>-69.949999999999989</v>
      </c>
      <c r="E22" s="4"/>
      <c r="F22" s="7">
        <f t="shared" si="1"/>
        <v>180</v>
      </c>
      <c r="G22" s="8">
        <f>Settings!$G$18*COS(RADIANS(F22))/2+Settings!$G$18/2*COS(RADIANS(-90))</f>
        <v>-74.55</v>
      </c>
      <c r="H22" s="8">
        <f>Settings!$G$18*SIN(RADIANS(F22))/2+Settings!G$18/2*SIN(RADIANS(-90))+Settings!G$19</f>
        <v>-87.149999999999977</v>
      </c>
      <c r="L22" s="7">
        <f t="shared" si="2"/>
        <v>180</v>
      </c>
      <c r="M22" s="8">
        <f>Settings!$G$61*COS(RADIANS(L22))/2+Settings!$G$61/2*COS(RADIANS(-90))</f>
        <v>-8.7629618811158174</v>
      </c>
      <c r="N22" s="8">
        <f>Settings!$G$61*SIN(RADIANS(L22))/2+Settings!$G$61/2*SIN(RADIANS(-90))+Settings!G$62</f>
        <v>-10.566116547393017</v>
      </c>
      <c r="O22" s="4"/>
      <c r="P22" s="7">
        <f t="shared" si="3"/>
        <v>180</v>
      </c>
      <c r="Q22" s="8">
        <f>Settings!$G$65*COS(RADIANS(P22))/2+Settings!$G$65/2*COS(RADIANS(-90))</f>
        <v>-10.417409084270485</v>
      </c>
      <c r="R22" s="8">
        <f>Settings!$G$65*SIN(RADIANS(P22))/2+Settings!$G$65/2*SIN(RADIANS(-90))+Settings!G$66</f>
        <v>-12.220563750547685</v>
      </c>
    </row>
    <row r="23" spans="2:18" x14ac:dyDescent="0.25">
      <c r="B23" s="7">
        <f t="shared" si="0"/>
        <v>190</v>
      </c>
      <c r="C23" s="8">
        <f>Settings!G$14*COS(RADIANS(B23))/2+Settings!G$14/2*COS(RADIANS(-90))</f>
        <v>-56.478724635250131</v>
      </c>
      <c r="D23" s="8">
        <f>Settings!G$14*SIN(RADIANS(B23))/2+Settings!G$14/2*SIN(RADIANS(-90))+Settings!G$15</f>
        <v>-79.908722989198452</v>
      </c>
      <c r="E23" s="4"/>
      <c r="F23" s="7">
        <f t="shared" si="1"/>
        <v>190</v>
      </c>
      <c r="G23" s="8">
        <f>Settings!$G$18*COS(RADIANS(F23))/2+Settings!$G$18/2*COS(RADIANS(-90))</f>
        <v>-73.417417987060105</v>
      </c>
      <c r="H23" s="8">
        <f>Settings!$G$18*SIN(RADIANS(F23))/2+Settings!G$18/2*SIN(RADIANS(-90))+Settings!G$19</f>
        <v>-100.09547164506967</v>
      </c>
      <c r="L23" s="7">
        <f t="shared" si="2"/>
        <v>190</v>
      </c>
      <c r="M23" s="8">
        <f>Settings!$G$61*COS(RADIANS(L23))/2+Settings!$G$61/2*COS(RADIANS(-90))</f>
        <v>-8.6298327998733004</v>
      </c>
      <c r="N23" s="8">
        <f>Settings!$G$61*SIN(RADIANS(L23))/2+Settings!$G$61/2*SIN(RADIANS(-90))+Settings!G$62</f>
        <v>-12.087788909013558</v>
      </c>
      <c r="O23" s="4"/>
      <c r="P23" s="7">
        <f t="shared" si="3"/>
        <v>190</v>
      </c>
      <c r="Q23" s="8">
        <f>Settings!$G$65*COS(RADIANS(P23))/2+Settings!$G$65/2*COS(RADIANS(-90))</f>
        <v>-10.259145232489379</v>
      </c>
      <c r="R23" s="8">
        <f>Settings!$G$65*SIN(RADIANS(P23))/2+Settings!$G$65/2*SIN(RADIANS(-90))+Settings!G$66</f>
        <v>-14.029527854042183</v>
      </c>
    </row>
    <row r="24" spans="2:18" x14ac:dyDescent="0.25">
      <c r="B24" s="7">
        <f t="shared" si="0"/>
        <v>200</v>
      </c>
      <c r="C24" s="8">
        <f>Settings!G$14*COS(RADIANS(B24))/2+Settings!G$14/2*COS(RADIANS(-90))</f>
        <v>-53.891371802071852</v>
      </c>
      <c r="D24" s="8">
        <f>Settings!G$14*SIN(RADIANS(B24))/2+Settings!G$14/2*SIN(RADIANS(-90))+Settings!G$15</f>
        <v>-89.564855219727093</v>
      </c>
      <c r="E24" s="4"/>
      <c r="F24" s="7">
        <f t="shared" si="1"/>
        <v>200</v>
      </c>
      <c r="G24" s="8">
        <f>Settings!$G$18*COS(RADIANS(F24))/2+Settings!$G$18/2*COS(RADIANS(-90))</f>
        <v>-70.054084879589468</v>
      </c>
      <c r="H24" s="8">
        <f>Settings!$G$18*SIN(RADIANS(F24))/2+Settings!G$18/2*SIN(RADIANS(-90))+Settings!G$19</f>
        <v>-112.64760168492859</v>
      </c>
      <c r="L24" s="7">
        <f t="shared" si="2"/>
        <v>200</v>
      </c>
      <c r="M24" s="8">
        <f>Settings!$G$61*COS(RADIANS(L24))/2+Settings!$G$61/2*COS(RADIANS(-90))</f>
        <v>-8.2344906159127369</v>
      </c>
      <c r="N24" s="8">
        <f>Settings!$G$61*SIN(RADIANS(L24))/2+Settings!$G$61/2*SIN(RADIANS(-90))+Settings!G$62</f>
        <v>-13.563226025929621</v>
      </c>
      <c r="O24" s="4"/>
      <c r="P24" s="7">
        <f t="shared" si="3"/>
        <v>200</v>
      </c>
      <c r="Q24" s="8">
        <f>Settings!$G$65*COS(RADIANS(P24))/2+Settings!$G$65/2*COS(RADIANS(-90))</f>
        <v>-9.7891624441970624</v>
      </c>
      <c r="R24" s="8">
        <f>Settings!$G$65*SIN(RADIANS(P24))/2+Settings!$G$65/2*SIN(RADIANS(-90))+Settings!G$66</f>
        <v>-15.783527498632001</v>
      </c>
    </row>
    <row r="25" spans="2:18" x14ac:dyDescent="0.25">
      <c r="B25" s="7">
        <f t="shared" si="0"/>
        <v>210</v>
      </c>
      <c r="C25" s="8">
        <f>Settings!G$14*COS(RADIANS(B25))/2+Settings!G$14/2*COS(RADIANS(-90))</f>
        <v>-49.666556907037553</v>
      </c>
      <c r="D25" s="8">
        <f>Settings!G$14*SIN(RADIANS(B25))/2+Settings!G$14/2*SIN(RADIANS(-90))+Settings!G$15</f>
        <v>-98.625</v>
      </c>
      <c r="E25" s="4"/>
      <c r="F25" s="7">
        <f t="shared" si="1"/>
        <v>210</v>
      </c>
      <c r="G25" s="8">
        <f>Settings!$G$18*COS(RADIANS(F25))/2+Settings!$G$18/2*COS(RADIANS(-90))</f>
        <v>-64.562193852129894</v>
      </c>
      <c r="H25" s="8">
        <f>Settings!$G$18*SIN(RADIANS(F25))/2+Settings!G$18/2*SIN(RADIANS(-90))+Settings!G$19</f>
        <v>-124.425</v>
      </c>
      <c r="L25" s="7">
        <f t="shared" si="2"/>
        <v>210</v>
      </c>
      <c r="M25" s="8">
        <f>Settings!$G$61*COS(RADIANS(L25))/2+Settings!$G$61/2*COS(RADIANS(-90))</f>
        <v>-7.5889476014409682</v>
      </c>
      <c r="N25" s="8">
        <f>Settings!$G$61*SIN(RADIANS(L25))/2+Settings!$G$61/2*SIN(RADIANS(-90))+Settings!G$62</f>
        <v>-14.947597487950929</v>
      </c>
      <c r="O25" s="4"/>
      <c r="P25" s="7">
        <f t="shared" si="3"/>
        <v>210</v>
      </c>
      <c r="Q25" s="8">
        <f>Settings!$G$65*COS(RADIANS(P25))/2+Settings!$G$65/2*COS(RADIANS(-90))</f>
        <v>-9.021740908593026</v>
      </c>
      <c r="R25" s="8">
        <f>Settings!$G$65*SIN(RADIANS(P25))/2+Settings!$G$65/2*SIN(RADIANS(-90))+Settings!G$66</f>
        <v>-17.429268292682931</v>
      </c>
    </row>
    <row r="26" spans="2:18" x14ac:dyDescent="0.25">
      <c r="B26" s="7">
        <f t="shared" si="0"/>
        <v>220</v>
      </c>
      <c r="C26" s="8">
        <f>Settings!G$14*COS(RADIANS(B26))/2+Settings!G$14/2*COS(RADIANS(-90))</f>
        <v>-43.932648812873389</v>
      </c>
      <c r="D26" s="8">
        <f>Settings!G$14*SIN(RADIANS(B26))/2+Settings!G$14/2*SIN(RADIANS(-90))+Settings!G$15</f>
        <v>-106.81386941552302</v>
      </c>
      <c r="E26" s="4"/>
      <c r="F26" s="7">
        <f t="shared" si="1"/>
        <v>220</v>
      </c>
      <c r="G26" s="8">
        <f>Settings!$G$18*COS(RADIANS(F26))/2+Settings!$G$18/2*COS(RADIANS(-90))</f>
        <v>-57.108613234519801</v>
      </c>
      <c r="H26" s="8">
        <f>Settings!$G$18*SIN(RADIANS(F26))/2+Settings!G$18/2*SIN(RADIANS(-90))+Settings!G$19</f>
        <v>-135.0698163021315</v>
      </c>
      <c r="L26" s="7">
        <f t="shared" si="2"/>
        <v>220</v>
      </c>
      <c r="M26" s="8">
        <f>Settings!$G$61*COS(RADIANS(L26))/2+Settings!$G$61/2*COS(RADIANS(-90))</f>
        <v>-6.7128182542921975</v>
      </c>
      <c r="N26" s="8">
        <f>Settings!$G$61*SIN(RADIANS(L26))/2+Settings!$G$61/2*SIN(RADIANS(-90))+Settings!G$62</f>
        <v>-16.198839868729713</v>
      </c>
      <c r="O26" s="4"/>
      <c r="P26" s="7">
        <f t="shared" si="3"/>
        <v>220</v>
      </c>
      <c r="Q26" s="8">
        <f>Settings!$G$65*COS(RADIANS(P26))/2+Settings!$G$65/2*COS(RADIANS(-90))</f>
        <v>-7.9801983407025654</v>
      </c>
      <c r="R26" s="8">
        <f>Settings!$G$65*SIN(RADIANS(P26))/2+Settings!$G$65/2*SIN(RADIANS(-90))+Settings!G$66</f>
        <v>-18.916745234952749</v>
      </c>
    </row>
    <row r="27" spans="2:18" x14ac:dyDescent="0.25">
      <c r="B27" s="7">
        <f t="shared" si="0"/>
        <v>230</v>
      </c>
      <c r="C27" s="8">
        <f>Settings!G$14*COS(RADIANS(B27))/2+Settings!G$14/2*COS(RADIANS(-90))</f>
        <v>-36.863869415523041</v>
      </c>
      <c r="D27" s="8">
        <f>Settings!G$14*SIN(RADIANS(B27))/2+Settings!G$14/2*SIN(RADIANS(-90))+Settings!G$15</f>
        <v>-113.88264881287338</v>
      </c>
      <c r="E27" s="4"/>
      <c r="F27" s="7">
        <f t="shared" si="1"/>
        <v>230</v>
      </c>
      <c r="G27" s="8">
        <f>Settings!$G$18*COS(RADIANS(F27))/2+Settings!$G$18/2*COS(RADIANS(-90))</f>
        <v>-47.919816302131508</v>
      </c>
      <c r="H27" s="8">
        <f>Settings!$G$18*SIN(RADIANS(F27))/2+Settings!G$18/2*SIN(RADIANS(-90))+Settings!G$19</f>
        <v>-144.2586132345198</v>
      </c>
      <c r="L27" s="7">
        <f t="shared" si="2"/>
        <v>230</v>
      </c>
      <c r="M27" s="8">
        <f>Settings!$G$61*COS(RADIANS(L27))/2+Settings!$G$61/2*COS(RADIANS(-90))</f>
        <v>-5.6327233213366972</v>
      </c>
      <c r="N27" s="8">
        <f>Settings!$G$61*SIN(RADIANS(L27))/2+Settings!$G$61/2*SIN(RADIANS(-90))+Settings!G$62</f>
        <v>-17.278934801685217</v>
      </c>
      <c r="O27" s="4"/>
      <c r="P27" s="7">
        <f t="shared" si="3"/>
        <v>230</v>
      </c>
      <c r="Q27" s="8">
        <f>Settings!$G$65*COS(RADIANS(P27))/2+Settings!$G$65/2*COS(RADIANS(-90))</f>
        <v>-6.6961814844050664</v>
      </c>
      <c r="R27" s="8">
        <f>Settings!$G$65*SIN(RADIANS(P27))/2+Settings!$G$65/2*SIN(RADIANS(-90))+Settings!G$66</f>
        <v>-20.200762091250251</v>
      </c>
    </row>
    <row r="28" spans="2:18" x14ac:dyDescent="0.25">
      <c r="B28" s="7">
        <f t="shared" si="0"/>
        <v>240</v>
      </c>
      <c r="C28" s="8">
        <f>Settings!G$14*COS(RADIANS(B28))/2+Settings!G$14/2*COS(RADIANS(-90))</f>
        <v>-28.675000000000022</v>
      </c>
      <c r="D28" s="8">
        <f>Settings!G$14*SIN(RADIANS(B28))/2+Settings!G$14/2*SIN(RADIANS(-90))+Settings!G$15</f>
        <v>-119.61655690703753</v>
      </c>
      <c r="E28" s="4"/>
      <c r="F28" s="7">
        <f t="shared" si="1"/>
        <v>240</v>
      </c>
      <c r="G28" s="8">
        <f>Settings!$G$18*COS(RADIANS(F28))/2+Settings!$G$18/2*COS(RADIANS(-90))</f>
        <v>-37.275000000000027</v>
      </c>
      <c r="H28" s="8">
        <f>Settings!$G$18*SIN(RADIANS(F28))/2+Settings!G$18/2*SIN(RADIANS(-90))+Settings!G$19</f>
        <v>-151.71219385212987</v>
      </c>
      <c r="L28" s="7">
        <f t="shared" si="2"/>
        <v>240</v>
      </c>
      <c r="M28" s="8">
        <f>Settings!$G$61*COS(RADIANS(L28))/2+Settings!$G$61/2*COS(RADIANS(-90))</f>
        <v>-4.3814809405579114</v>
      </c>
      <c r="N28" s="8">
        <f>Settings!$G$61*SIN(RADIANS(L28))/2+Settings!$G$61/2*SIN(RADIANS(-90))+Settings!G$62</f>
        <v>-18.155064148833986</v>
      </c>
      <c r="O28" s="4"/>
      <c r="P28" s="7">
        <f t="shared" si="3"/>
        <v>240</v>
      </c>
      <c r="Q28" s="8">
        <f>Settings!$G$65*COS(RADIANS(P28))/2+Settings!$G$65/2*COS(RADIANS(-90))</f>
        <v>-5.208704542135246</v>
      </c>
      <c r="R28" s="8">
        <f>Settings!$G$65*SIN(RADIANS(P28))/2+Settings!$G$65/2*SIN(RADIANS(-90))+Settings!G$66</f>
        <v>-21.242304659140707</v>
      </c>
    </row>
    <row r="29" spans="2:18" x14ac:dyDescent="0.25">
      <c r="B29" s="7">
        <f t="shared" si="0"/>
        <v>250</v>
      </c>
      <c r="C29" s="8">
        <f>Settings!G$14*COS(RADIANS(B29))/2+Settings!G$14/2*COS(RADIANS(-90))</f>
        <v>-19.614855219727087</v>
      </c>
      <c r="D29" s="8">
        <f>Settings!G$14*SIN(RADIANS(B29))/2+Settings!G$14/2*SIN(RADIANS(-90))+Settings!G$15</f>
        <v>-123.84137180207185</v>
      </c>
      <c r="E29" s="4"/>
      <c r="F29" s="7">
        <f t="shared" si="1"/>
        <v>250</v>
      </c>
      <c r="G29" s="8">
        <f>Settings!$G$18*COS(RADIANS(F29))/2+Settings!$G$18/2*COS(RADIANS(-90))</f>
        <v>-25.497601684928586</v>
      </c>
      <c r="H29" s="8">
        <f>Settings!$G$18*SIN(RADIANS(F29))/2+Settings!G$18/2*SIN(RADIANS(-90))+Settings!G$19</f>
        <v>-157.20408487958946</v>
      </c>
      <c r="L29" s="7">
        <f t="shared" si="2"/>
        <v>250</v>
      </c>
      <c r="M29" s="8">
        <f>Settings!$G$61*COS(RADIANS(L29))/2+Settings!$G$61/2*COS(RADIANS(-90))</f>
        <v>-2.9971094785366015</v>
      </c>
      <c r="N29" s="8">
        <f>Settings!$G$61*SIN(RADIANS(L29))/2+Settings!$G$61/2*SIN(RADIANS(-90))+Settings!G$62</f>
        <v>-18.800607163305756</v>
      </c>
      <c r="O29" s="4"/>
      <c r="P29" s="7">
        <f t="shared" si="3"/>
        <v>250</v>
      </c>
      <c r="Q29" s="8">
        <f>Settings!$G$65*COS(RADIANS(P29))/2+Settings!$G$65/2*COS(RADIANS(-90))</f>
        <v>-3.5629637480843122</v>
      </c>
      <c r="R29" s="8">
        <f>Settings!$G$65*SIN(RADIANS(P29))/2+Settings!$G$65/2*SIN(RADIANS(-90))+Settings!G$66</f>
        <v>-22.009726194744751</v>
      </c>
    </row>
    <row r="30" spans="2:18" x14ac:dyDescent="0.25">
      <c r="B30" s="7">
        <f t="shared" si="0"/>
        <v>260</v>
      </c>
      <c r="C30" s="8">
        <f>Settings!G$14*COS(RADIANS(B30))/2+Settings!G$14/2*COS(RADIANS(-90))</f>
        <v>-9.958722989198451</v>
      </c>
      <c r="D30" s="8">
        <f>Settings!G$14*SIN(RADIANS(B30))/2+Settings!G$14/2*SIN(RADIANS(-90))+Settings!G$15</f>
        <v>-126.42872463525012</v>
      </c>
      <c r="E30" s="4"/>
      <c r="F30" s="7">
        <f t="shared" si="1"/>
        <v>260</v>
      </c>
      <c r="G30" s="8">
        <f>Settings!$G$18*COS(RADIANS(F30))/2+Settings!$G$18/2*COS(RADIANS(-90))</f>
        <v>-12.945471645069651</v>
      </c>
      <c r="H30" s="8">
        <f>Settings!$G$18*SIN(RADIANS(F30))/2+Settings!G$18/2*SIN(RADIANS(-90))+Settings!G$19</f>
        <v>-160.56741798706011</v>
      </c>
      <c r="L30" s="7">
        <f t="shared" si="2"/>
        <v>260</v>
      </c>
      <c r="M30" s="8">
        <f>Settings!$G$61*COS(RADIANS(L30))/2+Settings!$G$61/2*COS(RADIANS(-90))</f>
        <v>-1.521672361620537</v>
      </c>
      <c r="N30" s="8">
        <f>Settings!$G$61*SIN(RADIANS(L30))/2+Settings!$G$61/2*SIN(RADIANS(-90))+Settings!G$62</f>
        <v>-19.195949347266321</v>
      </c>
      <c r="O30" s="4"/>
      <c r="P30" s="7">
        <f t="shared" si="3"/>
        <v>260</v>
      </c>
      <c r="Q30" s="8">
        <f>Settings!$G$65*COS(RADIANS(P30))/2+Settings!$G$65/2*COS(RADIANS(-90))</f>
        <v>-1.8089641034944945</v>
      </c>
      <c r="R30" s="8">
        <f>Settings!$G$65*SIN(RADIANS(P30))/2+Settings!$G$65/2*SIN(RADIANS(-90))+Settings!G$66</f>
        <v>-22.479708983037064</v>
      </c>
    </row>
    <row r="31" spans="2:18" x14ac:dyDescent="0.25">
      <c r="B31" s="7">
        <f t="shared" si="0"/>
        <v>270</v>
      </c>
      <c r="C31" s="8">
        <f>Settings!G$14*COS(RADIANS(B31))/2+Settings!G$14/2*COS(RADIANS(-90))</f>
        <v>-7.0262263889009358E-15</v>
      </c>
      <c r="D31" s="8">
        <f>Settings!G$14*SIN(RADIANS(B31))/2+Settings!G$14/2*SIN(RADIANS(-90))+Settings!G$15</f>
        <v>-127.3</v>
      </c>
      <c r="E31" s="4"/>
      <c r="F31" s="7">
        <f t="shared" si="1"/>
        <v>270</v>
      </c>
      <c r="G31" s="8">
        <f>Settings!$G$18*COS(RADIANS(F31))/2+Settings!$G$18/2*COS(RADIANS(-90))</f>
        <v>-9.1334817313437622E-15</v>
      </c>
      <c r="H31" s="8">
        <f>Settings!$G$18*SIN(RADIANS(F31))/2+Settings!G$18/2*SIN(RADIANS(-90))+Settings!G$19</f>
        <v>-161.69999999999999</v>
      </c>
      <c r="L31" s="7">
        <f t="shared" si="2"/>
        <v>270</v>
      </c>
      <c r="M31" s="8">
        <f>Settings!$G$61*COS(RADIANS(L31))/2+Settings!$G$61/2*COS(RADIANS(-90))</f>
        <v>-1.0735929209072177E-15</v>
      </c>
      <c r="N31" s="8">
        <f>Settings!$G$61*SIN(RADIANS(L31))/2+Settings!$G$61/2*SIN(RADIANS(-90))+Settings!G$62</f>
        <v>-19.329078428508836</v>
      </c>
      <c r="O31" s="4"/>
      <c r="P31" s="7">
        <f t="shared" si="3"/>
        <v>270</v>
      </c>
      <c r="Q31" s="8">
        <f>Settings!$G$65*COS(RADIANS(P31))/2+Settings!$G$65/2*COS(RADIANS(-90))</f>
        <v>-1.2762872643745005E-15</v>
      </c>
      <c r="R31" s="8">
        <f>Settings!$G$65*SIN(RADIANS(P31))/2+Settings!$G$65/2*SIN(RADIANS(-90))+Settings!G$66</f>
        <v>-22.637972834818171</v>
      </c>
    </row>
    <row r="32" spans="2:18" x14ac:dyDescent="0.25">
      <c r="B32" s="7">
        <f t="shared" si="0"/>
        <v>280</v>
      </c>
      <c r="C32" s="8">
        <f>Settings!G$14*COS(RADIANS(B32))/2+Settings!G$14/2*COS(RADIANS(-90))</f>
        <v>9.9587229891984368</v>
      </c>
      <c r="D32" s="8">
        <f>Settings!G$14*SIN(RADIANS(B32))/2+Settings!G$14/2*SIN(RADIANS(-90))+Settings!G$15</f>
        <v>-126.42872463525013</v>
      </c>
      <c r="E32" s="4"/>
      <c r="F32" s="7">
        <f t="shared" si="1"/>
        <v>280</v>
      </c>
      <c r="G32" s="8">
        <f>Settings!$G$18*COS(RADIANS(F32))/2+Settings!$G$18/2*COS(RADIANS(-90))</f>
        <v>12.945471645069635</v>
      </c>
      <c r="H32" s="8">
        <f>Settings!$G$18*SIN(RADIANS(F32))/2+Settings!G$18/2*SIN(RADIANS(-90))+Settings!G$19</f>
        <v>-160.56741798706011</v>
      </c>
      <c r="L32" s="7">
        <f t="shared" si="2"/>
        <v>280</v>
      </c>
      <c r="M32" s="8">
        <f>Settings!$G$61*COS(RADIANS(L32))/2+Settings!$G$61/2*COS(RADIANS(-90))</f>
        <v>1.5216723616205348</v>
      </c>
      <c r="N32" s="8">
        <f>Settings!$G$61*SIN(RADIANS(L32))/2+Settings!$G$61/2*SIN(RADIANS(-90))+Settings!G$62</f>
        <v>-19.195949347266321</v>
      </c>
      <c r="O32" s="4"/>
      <c r="P32" s="7">
        <f t="shared" si="3"/>
        <v>280</v>
      </c>
      <c r="Q32" s="8">
        <f>Settings!$G$65*COS(RADIANS(P32))/2+Settings!$G$65/2*COS(RADIANS(-90))</f>
        <v>1.8089641034944921</v>
      </c>
      <c r="R32" s="8">
        <f>Settings!$G$65*SIN(RADIANS(P32))/2+Settings!$G$65/2*SIN(RADIANS(-90))+Settings!G$66</f>
        <v>-22.479708983037067</v>
      </c>
    </row>
    <row r="33" spans="2:18" x14ac:dyDescent="0.25">
      <c r="B33" s="7">
        <f t="shared" si="0"/>
        <v>290</v>
      </c>
      <c r="C33" s="8">
        <f>Settings!G$14*COS(RADIANS(B33))/2+Settings!G$14/2*COS(RADIANS(-90))</f>
        <v>19.614855219727122</v>
      </c>
      <c r="D33" s="8">
        <f>Settings!G$14*SIN(RADIANS(B33))/2+Settings!G$14/2*SIN(RADIANS(-90))+Settings!G$15</f>
        <v>-123.84137180207185</v>
      </c>
      <c r="E33" s="4"/>
      <c r="F33" s="7">
        <f t="shared" si="1"/>
        <v>290</v>
      </c>
      <c r="G33" s="8">
        <f>Settings!$G$18*COS(RADIANS(F33))/2+Settings!$G$18/2*COS(RADIANS(-90))</f>
        <v>25.497601684928625</v>
      </c>
      <c r="H33" s="8">
        <f>Settings!$G$18*SIN(RADIANS(F33))/2+Settings!G$18/2*SIN(RADIANS(-90))+Settings!G$19</f>
        <v>-157.20408487958946</v>
      </c>
      <c r="L33" s="7">
        <f t="shared" si="2"/>
        <v>290</v>
      </c>
      <c r="M33" s="8">
        <f>Settings!$G$61*COS(RADIANS(L33))/2+Settings!$G$61/2*COS(RADIANS(-90))</f>
        <v>2.9971094785366064</v>
      </c>
      <c r="N33" s="8">
        <f>Settings!$G$61*SIN(RADIANS(L33))/2+Settings!$G$61/2*SIN(RADIANS(-90))+Settings!G$62</f>
        <v>-18.800607163305756</v>
      </c>
      <c r="O33" s="4"/>
      <c r="P33" s="7">
        <f t="shared" si="3"/>
        <v>290</v>
      </c>
      <c r="Q33" s="8">
        <f>Settings!$G$65*COS(RADIANS(P33))/2+Settings!$G$65/2*COS(RADIANS(-90))</f>
        <v>3.5629637480843179</v>
      </c>
      <c r="R33" s="8">
        <f>Settings!$G$65*SIN(RADIANS(P33))/2+Settings!$G$65/2*SIN(RADIANS(-90))+Settings!G$66</f>
        <v>-22.009726194744747</v>
      </c>
    </row>
    <row r="34" spans="2:18" x14ac:dyDescent="0.25">
      <c r="B34" s="7">
        <f t="shared" si="0"/>
        <v>300</v>
      </c>
      <c r="C34" s="8">
        <f>Settings!G$14*COS(RADIANS(B34))/2+Settings!G$14/2*COS(RADIANS(-90))</f>
        <v>28.675000000000011</v>
      </c>
      <c r="D34" s="8">
        <f>Settings!G$14*SIN(RADIANS(B34))/2+Settings!G$14/2*SIN(RADIANS(-90))+Settings!G$15</f>
        <v>-119.61655690703755</v>
      </c>
      <c r="E34" s="4"/>
      <c r="F34" s="7">
        <f t="shared" si="1"/>
        <v>300</v>
      </c>
      <c r="G34" s="8">
        <f>Settings!$G$18*COS(RADIANS(F34))/2+Settings!$G$18/2*COS(RADIANS(-90))</f>
        <v>37.275000000000013</v>
      </c>
      <c r="H34" s="8">
        <f>Settings!$G$18*SIN(RADIANS(F34))/2+Settings!G$18/2*SIN(RADIANS(-90))+Settings!G$19</f>
        <v>-151.7121938521299</v>
      </c>
      <c r="L34" s="7">
        <f t="shared" si="2"/>
        <v>300</v>
      </c>
      <c r="M34" s="8">
        <f>Settings!$G$61*COS(RADIANS(L34))/2+Settings!$G$61/2*COS(RADIANS(-90))</f>
        <v>4.3814809405579105</v>
      </c>
      <c r="N34" s="8">
        <f>Settings!$G$61*SIN(RADIANS(L34))/2+Settings!$G$61/2*SIN(RADIANS(-90))+Settings!G$62</f>
        <v>-18.155064148833986</v>
      </c>
      <c r="O34" s="4"/>
      <c r="P34" s="7">
        <f t="shared" si="3"/>
        <v>300</v>
      </c>
      <c r="Q34" s="8">
        <f>Settings!$G$65*COS(RADIANS(P34))/2+Settings!$G$65/2*COS(RADIANS(-90))</f>
        <v>5.2087045421352443</v>
      </c>
      <c r="R34" s="8">
        <f>Settings!$G$65*SIN(RADIANS(P34))/2+Settings!$G$65/2*SIN(RADIANS(-90))+Settings!G$66</f>
        <v>-21.242304659140714</v>
      </c>
    </row>
    <row r="35" spans="2:18" x14ac:dyDescent="0.25">
      <c r="B35" s="7">
        <f t="shared" si="0"/>
        <v>310</v>
      </c>
      <c r="C35" s="8">
        <f>Settings!G$14*COS(RADIANS(B35))/2+Settings!G$14/2*COS(RADIANS(-90))</f>
        <v>36.863869415523027</v>
      </c>
      <c r="D35" s="8">
        <f>Settings!G$14*SIN(RADIANS(B35))/2+Settings!G$14/2*SIN(RADIANS(-90))+Settings!G$15</f>
        <v>-113.88264881287338</v>
      </c>
      <c r="E35" s="4"/>
      <c r="F35" s="7">
        <f t="shared" si="1"/>
        <v>310</v>
      </c>
      <c r="G35" s="8">
        <f>Settings!$G$18*COS(RADIANS(F35))/2+Settings!$G$18/2*COS(RADIANS(-90))</f>
        <v>47.919816302131508</v>
      </c>
      <c r="H35" s="8">
        <f>Settings!$G$18*SIN(RADIANS(F35))/2+Settings!G$18/2*SIN(RADIANS(-90))+Settings!G$19</f>
        <v>-144.2586132345198</v>
      </c>
      <c r="L35" s="7">
        <f t="shared" si="2"/>
        <v>310</v>
      </c>
      <c r="M35" s="8">
        <f>Settings!$G$61*COS(RADIANS(L35))/2+Settings!$G$61/2*COS(RADIANS(-90))</f>
        <v>5.6327233213366963</v>
      </c>
      <c r="N35" s="8">
        <f>Settings!$G$61*SIN(RADIANS(L35))/2+Settings!$G$61/2*SIN(RADIANS(-90))+Settings!G$62</f>
        <v>-17.278934801685217</v>
      </c>
      <c r="O35" s="4"/>
      <c r="P35" s="7">
        <f t="shared" si="3"/>
        <v>310</v>
      </c>
      <c r="Q35" s="8">
        <f>Settings!$G$65*COS(RADIANS(P35))/2+Settings!$G$65/2*COS(RADIANS(-90))</f>
        <v>6.6961814844050656</v>
      </c>
      <c r="R35" s="8">
        <f>Settings!$G$65*SIN(RADIANS(P35))/2+Settings!$G$65/2*SIN(RADIANS(-90))+Settings!G$66</f>
        <v>-20.200762091250255</v>
      </c>
    </row>
    <row r="36" spans="2:18" x14ac:dyDescent="0.25">
      <c r="B36" s="7">
        <f t="shared" si="0"/>
        <v>320</v>
      </c>
      <c r="C36" s="8">
        <f>Settings!G$14*COS(RADIANS(B36))/2+Settings!G$14/2*COS(RADIANS(-90))</f>
        <v>43.932648812873374</v>
      </c>
      <c r="D36" s="8">
        <f>Settings!G$14*SIN(RADIANS(B36))/2+Settings!G$14/2*SIN(RADIANS(-90))+Settings!G$15</f>
        <v>-106.81386941552304</v>
      </c>
      <c r="E36" s="4"/>
      <c r="F36" s="7">
        <f t="shared" si="1"/>
        <v>320</v>
      </c>
      <c r="G36" s="8">
        <f>Settings!$G$18*COS(RADIANS(F36))/2+Settings!$G$18/2*COS(RADIANS(-90))</f>
        <v>57.108613234519801</v>
      </c>
      <c r="H36" s="8">
        <f>Settings!$G$18*SIN(RADIANS(F36))/2+Settings!G$18/2*SIN(RADIANS(-90))+Settings!G$19</f>
        <v>-135.06981630213153</v>
      </c>
      <c r="L36" s="7">
        <f t="shared" si="2"/>
        <v>320</v>
      </c>
      <c r="M36" s="8">
        <f>Settings!$G$61*COS(RADIANS(L36))/2+Settings!$G$61/2*COS(RADIANS(-90))</f>
        <v>6.7128182542921975</v>
      </c>
      <c r="N36" s="8">
        <f>Settings!$G$61*SIN(RADIANS(L36))/2+Settings!$G$61/2*SIN(RADIANS(-90))+Settings!G$62</f>
        <v>-16.198839868729717</v>
      </c>
      <c r="O36" s="4"/>
      <c r="P36" s="7">
        <f t="shared" si="3"/>
        <v>320</v>
      </c>
      <c r="Q36" s="8">
        <f>Settings!$G$65*COS(RADIANS(P36))/2+Settings!$G$65/2*COS(RADIANS(-90))</f>
        <v>7.9801983407025645</v>
      </c>
      <c r="R36" s="8">
        <f>Settings!$G$65*SIN(RADIANS(P36))/2+Settings!$G$65/2*SIN(RADIANS(-90))+Settings!G$66</f>
        <v>-18.916745234952757</v>
      </c>
    </row>
    <row r="37" spans="2:18" x14ac:dyDescent="0.25">
      <c r="B37" s="7">
        <f t="shared" si="0"/>
        <v>330</v>
      </c>
      <c r="C37" s="8">
        <f>Settings!G$14*COS(RADIANS(B37))/2+Settings!G$14/2*COS(RADIANS(-90))</f>
        <v>49.666556907037545</v>
      </c>
      <c r="D37" s="8">
        <f>Settings!G$14*SIN(RADIANS(B37))/2+Settings!G$14/2*SIN(RADIANS(-90))+Settings!G$15</f>
        <v>-98.625000000000028</v>
      </c>
      <c r="E37" s="4"/>
      <c r="F37" s="7">
        <f t="shared" si="1"/>
        <v>330</v>
      </c>
      <c r="G37" s="8">
        <f>Settings!$G$18*COS(RADIANS(F37))/2+Settings!$G$18/2*COS(RADIANS(-90))</f>
        <v>64.56219385212988</v>
      </c>
      <c r="H37" s="8">
        <f>Settings!$G$18*SIN(RADIANS(F37))/2+Settings!G$18/2*SIN(RADIANS(-90))+Settings!G$19</f>
        <v>-124.42500000000003</v>
      </c>
      <c r="L37" s="7">
        <f t="shared" si="2"/>
        <v>330</v>
      </c>
      <c r="M37" s="8">
        <f>Settings!$G$61*COS(RADIANS(L37))/2+Settings!$G$61/2*COS(RADIANS(-90))</f>
        <v>7.5889476014409682</v>
      </c>
      <c r="N37" s="8">
        <f>Settings!$G$61*SIN(RADIANS(L37))/2+Settings!$G$61/2*SIN(RADIANS(-90))+Settings!G$62</f>
        <v>-14.947597487950931</v>
      </c>
      <c r="O37" s="4"/>
      <c r="P37" s="7">
        <f t="shared" si="3"/>
        <v>330</v>
      </c>
      <c r="Q37" s="8">
        <f>Settings!$G$65*COS(RADIANS(P37))/2+Settings!$G$65/2*COS(RADIANS(-90))</f>
        <v>9.0217409085930225</v>
      </c>
      <c r="R37" s="8">
        <f>Settings!$G$65*SIN(RADIANS(P37))/2+Settings!$G$65/2*SIN(RADIANS(-90))+Settings!G$66</f>
        <v>-17.429268292682934</v>
      </c>
    </row>
    <row r="38" spans="2:18" x14ac:dyDescent="0.25">
      <c r="B38" s="7">
        <f t="shared" si="0"/>
        <v>340</v>
      </c>
      <c r="C38" s="8">
        <f>Settings!G$14*COS(RADIANS(B38))/2+Settings!G$14/2*COS(RADIANS(-90))</f>
        <v>53.891371802071852</v>
      </c>
      <c r="D38" s="8">
        <f>Settings!G$14*SIN(RADIANS(B38))/2+Settings!G$14/2*SIN(RADIANS(-90))+Settings!G$15</f>
        <v>-89.564855219727093</v>
      </c>
      <c r="E38" s="4"/>
      <c r="F38" s="7">
        <f t="shared" si="1"/>
        <v>340</v>
      </c>
      <c r="G38" s="8">
        <f>Settings!$G$18*COS(RADIANS(F38))/2+Settings!$G$18/2*COS(RADIANS(-90))</f>
        <v>70.054084879589468</v>
      </c>
      <c r="H38" s="8">
        <f>Settings!$G$18*SIN(RADIANS(F38))/2+Settings!G$18/2*SIN(RADIANS(-90))+Settings!G$19</f>
        <v>-112.64760168492859</v>
      </c>
      <c r="L38" s="7">
        <f t="shared" si="2"/>
        <v>340</v>
      </c>
      <c r="M38" s="8">
        <f>Settings!$G$61*COS(RADIANS(L38))/2+Settings!$G$61/2*COS(RADIANS(-90))</f>
        <v>8.2344906159127369</v>
      </c>
      <c r="N38" s="8">
        <f>Settings!$G$61*SIN(RADIANS(L38))/2+Settings!$G$61/2*SIN(RADIANS(-90))+Settings!G$62</f>
        <v>-13.563226025929621</v>
      </c>
      <c r="O38" s="4"/>
      <c r="P38" s="7">
        <f t="shared" si="3"/>
        <v>340</v>
      </c>
      <c r="Q38" s="8">
        <f>Settings!$G$65*COS(RADIANS(P38))/2+Settings!$G$65/2*COS(RADIANS(-90))</f>
        <v>9.7891624441970624</v>
      </c>
      <c r="R38" s="8">
        <f>Settings!$G$65*SIN(RADIANS(P38))/2+Settings!$G$65/2*SIN(RADIANS(-90))+Settings!G$66</f>
        <v>-15.783527498632001</v>
      </c>
    </row>
    <row r="39" spans="2:18" x14ac:dyDescent="0.25">
      <c r="B39" s="7">
        <f t="shared" si="0"/>
        <v>350</v>
      </c>
      <c r="C39" s="8">
        <f>Settings!G$14*COS(RADIANS(B39))/2+Settings!G$14/2*COS(RADIANS(-90))</f>
        <v>56.478724635250131</v>
      </c>
      <c r="D39" s="8">
        <f>Settings!G$14*SIN(RADIANS(B39))/2+Settings!G$14/2*SIN(RADIANS(-90))+Settings!G$15</f>
        <v>-79.908722989198452</v>
      </c>
      <c r="E39" s="4"/>
      <c r="F39" s="7">
        <f t="shared" si="1"/>
        <v>350</v>
      </c>
      <c r="G39" s="8">
        <f>Settings!$G$18*COS(RADIANS(F39))/2+Settings!$G$18/2*COS(RADIANS(-90))</f>
        <v>73.417417987060105</v>
      </c>
      <c r="H39" s="8">
        <f>Settings!$G$18*SIN(RADIANS(F39))/2+Settings!G$18/2*SIN(RADIANS(-90))+Settings!G$19</f>
        <v>-100.09547164506965</v>
      </c>
      <c r="L39" s="7">
        <f t="shared" si="2"/>
        <v>350</v>
      </c>
      <c r="M39" s="8">
        <f>Settings!$G$61*COS(RADIANS(L39))/2+Settings!$G$61/2*COS(RADIANS(-90))</f>
        <v>8.6298327998733004</v>
      </c>
      <c r="N39" s="8">
        <f>Settings!$G$61*SIN(RADIANS(L39))/2+Settings!$G$61/2*SIN(RADIANS(-90))+Settings!G$62</f>
        <v>-12.087788909013558</v>
      </c>
      <c r="O39" s="4"/>
      <c r="P39" s="7">
        <f t="shared" si="3"/>
        <v>350</v>
      </c>
      <c r="Q39" s="8">
        <f>Settings!$G$65*COS(RADIANS(P39))/2+Settings!$G$65/2*COS(RADIANS(-90))</f>
        <v>10.259145232489379</v>
      </c>
      <c r="R39" s="8">
        <f>Settings!$G$65*SIN(RADIANS(P39))/2+Settings!$G$65/2*SIN(RADIANS(-90))+Settings!G$66</f>
        <v>-14.029527854042183</v>
      </c>
    </row>
    <row r="40" spans="2:18" x14ac:dyDescent="0.25">
      <c r="B40" s="7">
        <f t="shared" si="0"/>
        <v>360</v>
      </c>
      <c r="C40" s="8">
        <f>Settings!G$14*COS(RADIANS(B40))/2+Settings!G$14/2*COS(RADIANS(-90))</f>
        <v>57.35</v>
      </c>
      <c r="D40" s="8">
        <f>Settings!G$14*SIN(RADIANS(B40))/2+Settings!G$14/2*SIN(RADIANS(-90))+Settings!G$15</f>
        <v>-69.950000000000017</v>
      </c>
      <c r="E40" s="4"/>
      <c r="F40" s="7">
        <f t="shared" si="1"/>
        <v>360</v>
      </c>
      <c r="G40" s="8">
        <f>Settings!$G$18*COS(RADIANS(F40))/2+Settings!$G$18/2*COS(RADIANS(-90))</f>
        <v>74.55</v>
      </c>
      <c r="H40" s="8">
        <f>Settings!$G$18*SIN(RADIANS(F40))/2+Settings!G$18/2*SIN(RADIANS(-90))+Settings!G$19</f>
        <v>-87.15</v>
      </c>
      <c r="L40" s="7">
        <f t="shared" si="2"/>
        <v>360</v>
      </c>
      <c r="M40" s="8">
        <f>Settings!$G$61*COS(RADIANS(L40))/2+Settings!$G$61/2*COS(RADIANS(-90))</f>
        <v>8.7629618811158174</v>
      </c>
      <c r="N40" s="8">
        <f>Settings!$G$61*SIN(RADIANS(L40))/2+Settings!$G$61/2*SIN(RADIANS(-90))+Settings!G$62</f>
        <v>-10.566116547393021</v>
      </c>
      <c r="O40" s="4"/>
      <c r="P40" s="7">
        <f t="shared" si="3"/>
        <v>360</v>
      </c>
      <c r="Q40" s="8">
        <f>Settings!$G$65*COS(RADIANS(P40))/2+Settings!$G$65/2*COS(RADIANS(-90))</f>
        <v>10.417409084270485</v>
      </c>
      <c r="R40" s="8">
        <f>Settings!$G$65*SIN(RADIANS(P40))/2+Settings!$G$65/2*SIN(RADIANS(-90))+Settings!G$66</f>
        <v>-12.220563750547688</v>
      </c>
    </row>
  </sheetData>
  <mergeCells count="4">
    <mergeCell ref="B2:D2"/>
    <mergeCell ref="F2:H2"/>
    <mergeCell ref="L2:N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 Hogg</dc:creator>
  <cp:lastModifiedBy>Braedin Hogg</cp:lastModifiedBy>
  <dcterms:created xsi:type="dcterms:W3CDTF">2023-08-31T03:51:17Z</dcterms:created>
  <dcterms:modified xsi:type="dcterms:W3CDTF">2024-01-16T04:52:56Z</dcterms:modified>
</cp:coreProperties>
</file>