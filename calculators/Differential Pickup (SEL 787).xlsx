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tech\Relays\Automation\"/>
    </mc:Choice>
  </mc:AlternateContent>
  <xr:revisionPtr revIDLastSave="0" documentId="13_ncr:1_{CA88FAA3-D903-4865-93A6-BF1B18092E69}" xr6:coauthVersionLast="47" xr6:coauthVersionMax="47" xr10:uidLastSave="{00000000-0000-0000-0000-000000000000}"/>
  <bookViews>
    <workbookView xWindow="3075" yWindow="3945" windowWidth="21600" windowHeight="11385" xr2:uid="{326E97C3-64A6-4337-B451-928039D88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K11" i="1"/>
  <c r="K10" i="1"/>
  <c r="G11" i="1"/>
  <c r="G10" i="1"/>
  <c r="F4" i="1"/>
  <c r="J11" i="1"/>
  <c r="J10" i="1"/>
  <c r="F10" i="1"/>
  <c r="F11" i="1"/>
  <c r="F3" i="1"/>
  <c r="L4" i="1"/>
  <c r="L3" i="1"/>
  <c r="B6" i="1"/>
  <c r="B5" i="1"/>
  <c r="I5" i="1" l="1"/>
  <c r="I6" i="1"/>
</calcChain>
</file>

<file path=xl/sharedStrings.xml><?xml version="1.0" encoding="utf-8"?>
<sst xmlns="http://schemas.openxmlformats.org/spreadsheetml/2006/main" count="26" uniqueCount="19">
  <si>
    <t>HV</t>
  </si>
  <si>
    <t>LV</t>
  </si>
  <si>
    <t>MVA</t>
  </si>
  <si>
    <t>Vs</t>
  </si>
  <si>
    <t>Vp</t>
  </si>
  <si>
    <t>Ip</t>
  </si>
  <si>
    <t>Is</t>
  </si>
  <si>
    <t>V</t>
  </si>
  <si>
    <t>CTR</t>
  </si>
  <si>
    <t>O87P</t>
  </si>
  <si>
    <t>PU</t>
  </si>
  <si>
    <t>PU L-L</t>
  </si>
  <si>
    <t>PU L-E</t>
  </si>
  <si>
    <t>Tol</t>
  </si>
  <si>
    <t>Tol L-L</t>
  </si>
  <si>
    <t>Tol L-E</t>
  </si>
  <si>
    <t>W1CTC</t>
  </si>
  <si>
    <t>W2CTC</t>
  </si>
  <si>
    <t>Calculated From SEL Manual With CT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</si>
</sst>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ED63-0EE5-4297-9B34-4658C8F24DAD}">
  <dimension ref="A1:L11"/>
  <sheetViews>
    <sheetView tabSelected="1" workbookViewId="0">
      <selection activeCell="I4" sqref="I4"/>
    </sheetView>
  </sheetViews>
  <sheetFormatPr defaultRowHeight="15" x14ac:dyDescent="0.25"/>
  <sheetData>
    <row r="1" spans="1:12" x14ac:dyDescent="0.25">
      <c r="A1" t="s">
        <v>2</v>
      </c>
      <c r="B1">
        <v>20</v>
      </c>
      <c r="C1" t="s">
        <v>2</v>
      </c>
      <c r="F1" t="s">
        <v>0</v>
      </c>
      <c r="I1" t="s">
        <v>1</v>
      </c>
    </row>
    <row r="2" spans="1:12" x14ac:dyDescent="0.25">
      <c r="A2" t="s">
        <v>4</v>
      </c>
      <c r="B2" s="1">
        <v>33640</v>
      </c>
      <c r="C2" t="s">
        <v>7</v>
      </c>
      <c r="E2" t="s">
        <v>8</v>
      </c>
      <c r="F2">
        <v>500</v>
      </c>
      <c r="H2" t="s">
        <v>8</v>
      </c>
      <c r="I2">
        <v>1500</v>
      </c>
    </row>
    <row r="3" spans="1:12" x14ac:dyDescent="0.25">
      <c r="A3" t="s">
        <v>3</v>
      </c>
      <c r="B3" s="1">
        <v>11000</v>
      </c>
      <c r="C3" t="s">
        <v>7</v>
      </c>
      <c r="E3" t="s">
        <v>10</v>
      </c>
      <c r="F3">
        <f>B8*B5/F2</f>
        <v>0.20595134453851099</v>
      </c>
      <c r="H3" t="s">
        <v>11</v>
      </c>
      <c r="I3">
        <f>B8*B6/I2</f>
        <v>0.20994555243259116</v>
      </c>
      <c r="L3">
        <f>IF(ISODD(B10),
    SQRT(3),
    IF(OR(B10=2, B10=4, B10=8, B10=9, B10=10), 3, IF(OR(B10=6, B10=12), 1.5, ""))
)</f>
        <v>1.5</v>
      </c>
    </row>
    <row r="4" spans="1:12" x14ac:dyDescent="0.25">
      <c r="E4" t="s">
        <v>13</v>
      </c>
      <c r="F4">
        <f>F3*0.05</f>
        <v>1.029756722692555E-2</v>
      </c>
      <c r="H4" t="s">
        <v>12</v>
      </c>
      <c r="I4">
        <f>(B8*B6/I2)*SQRT(3)</f>
        <v>0.36363636363636359</v>
      </c>
      <c r="L4">
        <f>IF(ISODD(B11),
    SQRT(3),
    IF(OR(B11=2, B11=4, B11=8, B11=9, B11=10), 3, IF(OR(B11=6, B11=12), 1.5, ""))
)</f>
        <v>1.7320508075688772</v>
      </c>
    </row>
    <row r="5" spans="1:12" x14ac:dyDescent="0.25">
      <c r="A5" t="s">
        <v>5</v>
      </c>
      <c r="B5">
        <f>(B1*1000000)/(SQRT(3)*B2)</f>
        <v>343.25224089751833</v>
      </c>
      <c r="H5" t="s">
        <v>14</v>
      </c>
      <c r="I5">
        <f>I3*0.05</f>
        <v>1.049727762162956E-2</v>
      </c>
    </row>
    <row r="6" spans="1:12" x14ac:dyDescent="0.25">
      <c r="A6" t="s">
        <v>6</v>
      </c>
      <c r="B6">
        <f>(B1*1000000)/(SQRT(3)*B3)</f>
        <v>1049.727762162956</v>
      </c>
      <c r="H6" t="s">
        <v>15</v>
      </c>
      <c r="I6">
        <f>I4*0.05</f>
        <v>1.8181818181818181E-2</v>
      </c>
    </row>
    <row r="8" spans="1:12" x14ac:dyDescent="0.25">
      <c r="A8" t="s">
        <v>9</v>
      </c>
      <c r="B8">
        <v>0.3</v>
      </c>
      <c r="E8" t="s">
        <v>18</v>
      </c>
    </row>
    <row r="10" spans="1:12" x14ac:dyDescent="0.25">
      <c r="A10" t="s">
        <v>16</v>
      </c>
      <c r="B10">
        <v>12</v>
      </c>
      <c r="E10" t="s">
        <v>11</v>
      </c>
      <c r="F10">
        <f>B8*(B5/F2)</f>
        <v>0.20595134453851099</v>
      </c>
      <c r="G10">
        <f>F10*0.05</f>
        <v>1.029756722692555E-2</v>
      </c>
      <c r="I10" t="s">
        <v>11</v>
      </c>
      <c r="J10">
        <f>B8*B6/I2</f>
        <v>0.20994555243259116</v>
      </c>
      <c r="K10">
        <f>J10*0.05</f>
        <v>1.049727762162956E-2</v>
      </c>
    </row>
    <row r="11" spans="1:12" x14ac:dyDescent="0.25">
      <c r="A11" t="s">
        <v>17</v>
      </c>
      <c r="B11">
        <v>11</v>
      </c>
      <c r="E11" t="s">
        <v>12</v>
      </c>
      <c r="F11">
        <f>B8*(B5/F2)*L3</f>
        <v>0.30892701680776646</v>
      </c>
      <c r="G11">
        <f>F11*0.05</f>
        <v>1.5446350840388324E-2</v>
      </c>
      <c r="I11" t="s">
        <v>12</v>
      </c>
      <c r="J11">
        <f>B6*B8/I2*L4</f>
        <v>0.36363636363636359</v>
      </c>
      <c r="K11">
        <f>J11*0.05</f>
        <v>1.8181818181818181E-2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Braedin Hogg</dc:creator>
  <cp:lastModifiedBy>Braedin Hogg</cp:lastModifiedBy>
  <dcterms:created xsi:type="dcterms:W3CDTF">2024-02-28T22:50:16Z</dcterms:created>
  <dcterms:modified xsi:type="dcterms:W3CDTF">2024-11-12T05:31:57Z</dcterms:modified>
</cp:coreProperties>
</file>